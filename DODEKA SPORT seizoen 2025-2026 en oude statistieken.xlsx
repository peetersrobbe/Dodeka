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e\Documents\Claude\Projects\Dodeka website\"/>
    </mc:Choice>
  </mc:AlternateContent>
  <xr:revisionPtr revIDLastSave="0" documentId="13_ncr:1_{4DB5794E-2930-44B2-8595-97011297AB95}" xr6:coauthVersionLast="47" xr6:coauthVersionMax="47" xr10:uidLastSave="{00000000-0000-0000-0000-000000000000}"/>
  <bookViews>
    <workbookView xWindow="28680" yWindow="-2715" windowWidth="29040" windowHeight="15720" xr2:uid="{00000000-000D-0000-FFFF-FFFF00000000}"/>
  </bookViews>
  <sheets>
    <sheet name="2025-2026" sheetId="19" r:id="rId1"/>
    <sheet name="Doelpunten 2025-2026" sheetId="2" r:id="rId2"/>
    <sheet name="Assists 2025-2026" sheetId="8" r:id="rId3"/>
    <sheet name="Kaarten 2025-2026" sheetId="5" r:id="rId4"/>
    <sheet name="Men of the Match 2025-2026" sheetId="15" r:id="rId5"/>
    <sheet name="STATS AANWEZIGHEDEN 2017-2027" sheetId="3" r:id="rId6"/>
    <sheet name="STATS DOELPUNTEN 2017-2027" sheetId="4" r:id="rId7"/>
    <sheet name="STATS ASSISTS 2017-2027" sheetId="9" r:id="rId8"/>
    <sheet name="STATS KAARTEN 2017-2027" sheetId="6" r:id="rId9"/>
    <sheet name="STATS MEN OF THE MATCH" sheetId="16" r:id="rId10"/>
    <sheet name="2017-2018" sheetId="1" r:id="rId11"/>
    <sheet name="2018-2019" sheetId="10" r:id="rId12"/>
    <sheet name="2019-2020" sheetId="20" r:id="rId13"/>
    <sheet name="2020-2021" sheetId="13" r:id="rId14"/>
    <sheet name="2021-2022" sheetId="11" r:id="rId15"/>
    <sheet name="2022-2023" sheetId="14" r:id="rId16"/>
    <sheet name="2023-2024" sheetId="17" r:id="rId17"/>
    <sheet name="2024-2025" sheetId="18" r:id="rId18"/>
  </sheets>
  <definedNames>
    <definedName name="_xlnm._FilterDatabase" localSheetId="15" hidden="1">'2022-2023'!$B$7:$AG$31</definedName>
    <definedName name="_xlnm._FilterDatabase" localSheetId="0" hidden="1">'2025-2026'!$B$7:$BO$25</definedName>
    <definedName name="_xlnm._FilterDatabase" localSheetId="2" hidden="1">'Assists 2025-2026'!$B$4:$AC$18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20" l="1"/>
  <c r="Z32" i="20"/>
  <c r="Z31" i="20"/>
  <c r="Z30" i="20"/>
  <c r="V30" i="20"/>
  <c r="V32" i="20" s="1"/>
  <c r="BB12" i="20" s="1"/>
  <c r="U30" i="20"/>
  <c r="U32" i="20" s="1"/>
  <c r="BA19" i="20" s="1"/>
  <c r="T30" i="20"/>
  <c r="T32" i="20" s="1"/>
  <c r="AZ15" i="20" s="1"/>
  <c r="S30" i="20"/>
  <c r="S32" i="20" s="1"/>
  <c r="AY19" i="20" s="1"/>
  <c r="R30" i="20"/>
  <c r="R32" i="20" s="1"/>
  <c r="AX11" i="20" s="1"/>
  <c r="Q30" i="20"/>
  <c r="Q32" i="20" s="1"/>
  <c r="AW6" i="20" s="1"/>
  <c r="P30" i="20"/>
  <c r="P32" i="20" s="1"/>
  <c r="AV26" i="20" s="1"/>
  <c r="O30" i="20"/>
  <c r="O32" i="20" s="1"/>
  <c r="AU14" i="20" s="1"/>
  <c r="N30" i="20"/>
  <c r="N32" i="20" s="1"/>
  <c r="AT11" i="20" s="1"/>
  <c r="M30" i="20"/>
  <c r="M32" i="20" s="1"/>
  <c r="AS17" i="20" s="1"/>
  <c r="L30" i="20"/>
  <c r="L32" i="20" s="1"/>
  <c r="AR21" i="20" s="1"/>
  <c r="K30" i="20"/>
  <c r="K32" i="20" s="1"/>
  <c r="AQ17" i="20" s="1"/>
  <c r="J30" i="20"/>
  <c r="J32" i="20" s="1"/>
  <c r="AP25" i="20" s="1"/>
  <c r="I30" i="20"/>
  <c r="I32" i="20" s="1"/>
  <c r="AO28" i="20" s="1"/>
  <c r="H30" i="20"/>
  <c r="H32" i="20" s="1"/>
  <c r="AN20" i="20" s="1"/>
  <c r="G30" i="20"/>
  <c r="G32" i="20" s="1"/>
  <c r="AM24" i="20" s="1"/>
  <c r="F30" i="20"/>
  <c r="F32" i="20" s="1"/>
  <c r="AL16" i="20" s="1"/>
  <c r="E30" i="20"/>
  <c r="E32" i="20" s="1"/>
  <c r="AK7" i="20" s="1"/>
  <c r="D30" i="20"/>
  <c r="D32" i="20" s="1"/>
  <c r="AJ11" i="20" s="1"/>
  <c r="C30" i="20"/>
  <c r="C32" i="20" s="1"/>
  <c r="AI15" i="20" s="1"/>
  <c r="AA29" i="20"/>
  <c r="Y29" i="20"/>
  <c r="X29" i="20"/>
  <c r="W29" i="20"/>
  <c r="AP28" i="20"/>
  <c r="AN28" i="20"/>
  <c r="AM28" i="20"/>
  <c r="AA28" i="20"/>
  <c r="Y28" i="20"/>
  <c r="X28" i="20"/>
  <c r="W28" i="20"/>
  <c r="AA27" i="20"/>
  <c r="Y27" i="20"/>
  <c r="X27" i="20"/>
  <c r="W27" i="20"/>
  <c r="AF27" i="20" s="1"/>
  <c r="AA26" i="20"/>
  <c r="Y26" i="20"/>
  <c r="X26" i="20"/>
  <c r="W26" i="20"/>
  <c r="AA25" i="20"/>
  <c r="Y25" i="20"/>
  <c r="X25" i="20"/>
  <c r="W25" i="20"/>
  <c r="AO24" i="20"/>
  <c r="AA24" i="20"/>
  <c r="Y24" i="20"/>
  <c r="X24" i="20"/>
  <c r="W24" i="20"/>
  <c r="AF24" i="20" s="1"/>
  <c r="AK23" i="20"/>
  <c r="AJ23" i="20"/>
  <c r="AA23" i="20"/>
  <c r="Y23" i="20"/>
  <c r="X23" i="20"/>
  <c r="W23" i="20"/>
  <c r="AF23" i="20" s="1"/>
  <c r="AA22" i="20"/>
  <c r="Y22" i="20"/>
  <c r="X22" i="20"/>
  <c r="W22" i="20"/>
  <c r="AP21" i="20"/>
  <c r="AA21" i="20"/>
  <c r="Y21" i="20"/>
  <c r="X21" i="20"/>
  <c r="W21" i="20"/>
  <c r="AM20" i="20"/>
  <c r="AL20" i="20"/>
  <c r="AA20" i="20"/>
  <c r="Y20" i="20"/>
  <c r="X20" i="20"/>
  <c r="W20" i="20"/>
  <c r="AF20" i="20" s="1"/>
  <c r="AA19" i="20"/>
  <c r="Y19" i="20"/>
  <c r="X19" i="20"/>
  <c r="W19" i="20"/>
  <c r="AA18" i="20"/>
  <c r="Y18" i="20"/>
  <c r="X18" i="20"/>
  <c r="W18" i="20"/>
  <c r="AP17" i="20"/>
  <c r="AA17" i="20"/>
  <c r="Y17" i="20"/>
  <c r="X17" i="20"/>
  <c r="W17" i="20"/>
  <c r="AF17" i="20" s="1"/>
  <c r="AO16" i="20"/>
  <c r="AN16" i="20"/>
  <c r="AM16" i="20"/>
  <c r="AA16" i="20"/>
  <c r="Y16" i="20"/>
  <c r="X16" i="20"/>
  <c r="W16" i="20"/>
  <c r="AL15" i="20"/>
  <c r="AA15" i="20"/>
  <c r="Y15" i="20"/>
  <c r="X15" i="20"/>
  <c r="W15" i="20"/>
  <c r="AP14" i="20"/>
  <c r="AA14" i="20"/>
  <c r="Y14" i="20"/>
  <c r="X14" i="20"/>
  <c r="W14" i="20"/>
  <c r="AP13" i="20"/>
  <c r="AL13" i="20"/>
  <c r="AA13" i="20"/>
  <c r="Y13" i="20"/>
  <c r="X13" i="20"/>
  <c r="W13" i="20"/>
  <c r="AP12" i="20"/>
  <c r="AA12" i="20"/>
  <c r="Y12" i="20"/>
  <c r="X12" i="20"/>
  <c r="W12" i="20"/>
  <c r="AA11" i="20"/>
  <c r="Y11" i="20"/>
  <c r="X11" i="20"/>
  <c r="W11" i="20"/>
  <c r="AP10" i="20"/>
  <c r="AA10" i="20"/>
  <c r="Y10" i="20"/>
  <c r="X10" i="20"/>
  <c r="W10" i="20"/>
  <c r="AP9" i="20"/>
  <c r="AL9" i="20"/>
  <c r="AA9" i="20"/>
  <c r="Y9" i="20"/>
  <c r="X9" i="20"/>
  <c r="W9" i="20"/>
  <c r="AP8" i="20"/>
  <c r="AO8" i="20"/>
  <c r="AM8" i="20"/>
  <c r="AL8" i="20"/>
  <c r="AA8" i="20"/>
  <c r="Y8" i="20"/>
  <c r="X8" i="20"/>
  <c r="W8" i="20"/>
  <c r="AF8" i="20" s="1"/>
  <c r="AA7" i="20"/>
  <c r="Y7" i="20"/>
  <c r="X7" i="20"/>
  <c r="W7" i="20"/>
  <c r="AP6" i="20"/>
  <c r="AA6" i="20"/>
  <c r="Y6" i="20"/>
  <c r="X6" i="20"/>
  <c r="W6" i="20"/>
  <c r="AA40" i="18"/>
  <c r="AA42" i="18" s="1"/>
  <c r="BL26" i="18" s="1"/>
  <c r="J33" i="4"/>
  <c r="C38" i="19"/>
  <c r="C40" i="19" s="1"/>
  <c r="D38" i="19"/>
  <c r="D40" i="19"/>
  <c r="AO24" i="19" s="1"/>
  <c r="AO7" i="19"/>
  <c r="E38" i="19"/>
  <c r="E40" i="19"/>
  <c r="AP32" i="19" s="1"/>
  <c r="AP7" i="19"/>
  <c r="F38" i="19"/>
  <c r="F40" i="19"/>
  <c r="AQ7" i="19"/>
  <c r="G38" i="19"/>
  <c r="G40" i="19"/>
  <c r="H38" i="19"/>
  <c r="H40" i="19" s="1"/>
  <c r="AS19" i="19" s="1"/>
  <c r="I38" i="19"/>
  <c r="I40" i="19" s="1"/>
  <c r="J38" i="19"/>
  <c r="J40" i="19"/>
  <c r="AU8" i="19" s="1"/>
  <c r="K38" i="19"/>
  <c r="K40" i="19"/>
  <c r="AV10" i="19" s="1"/>
  <c r="AV7" i="19"/>
  <c r="L38" i="19"/>
  <c r="L40" i="19"/>
  <c r="AW12" i="19" s="1"/>
  <c r="AW7" i="19"/>
  <c r="M38" i="19"/>
  <c r="M40" i="19"/>
  <c r="AX36" i="19" s="1"/>
  <c r="AX7" i="19"/>
  <c r="N38" i="19"/>
  <c r="N40" i="19" s="1"/>
  <c r="S38" i="19"/>
  <c r="S40" i="19" s="1"/>
  <c r="O38" i="19"/>
  <c r="O40" i="19" s="1"/>
  <c r="BA31" i="19" s="1"/>
  <c r="U38" i="19"/>
  <c r="U40" i="19" s="1"/>
  <c r="P38" i="19"/>
  <c r="P40" i="19" s="1"/>
  <c r="BC9" i="19" s="1"/>
  <c r="T38" i="19"/>
  <c r="T40" i="19" s="1"/>
  <c r="BD37" i="19" s="1"/>
  <c r="Q38" i="19"/>
  <c r="Q40" i="19"/>
  <c r="BE19" i="19" s="1"/>
  <c r="BE7" i="19"/>
  <c r="R38" i="19"/>
  <c r="R40" i="19" s="1"/>
  <c r="BF30" i="19" s="1"/>
  <c r="V38" i="19"/>
  <c r="V40" i="19" s="1"/>
  <c r="W38" i="19"/>
  <c r="W40" i="19"/>
  <c r="BH23" i="19" s="1"/>
  <c r="X38" i="19"/>
  <c r="X40" i="19"/>
  <c r="BI31" i="19" s="1"/>
  <c r="Y38" i="19"/>
  <c r="Y40" i="19"/>
  <c r="BJ30" i="19" s="1"/>
  <c r="BJ7" i="19"/>
  <c r="Z38" i="19"/>
  <c r="Z40" i="19"/>
  <c r="BK7" i="19"/>
  <c r="AA38" i="19"/>
  <c r="AA40" i="19" s="1"/>
  <c r="BL10" i="19" s="1"/>
  <c r="AB7" i="19"/>
  <c r="AF7" i="19"/>
  <c r="AC7" i="19"/>
  <c r="AD7" i="19"/>
  <c r="J62" i="3"/>
  <c r="J60" i="3"/>
  <c r="AB30" i="19"/>
  <c r="AC30" i="19"/>
  <c r="AD30" i="19"/>
  <c r="AN30" i="19"/>
  <c r="AO30" i="19"/>
  <c r="AF30" i="19"/>
  <c r="AB31" i="19"/>
  <c r="AK31" i="19" s="1"/>
  <c r="AC31" i="19"/>
  <c r="AD31" i="19"/>
  <c r="AN31" i="19"/>
  <c r="AO31" i="19"/>
  <c r="AP31" i="19"/>
  <c r="AF31" i="19"/>
  <c r="AB32" i="19"/>
  <c r="AC32" i="19"/>
  <c r="AD32" i="19"/>
  <c r="AN32" i="19"/>
  <c r="AO32" i="19"/>
  <c r="AF32" i="19"/>
  <c r="AK32" i="19" s="1"/>
  <c r="AN16" i="19"/>
  <c r="AO16" i="19"/>
  <c r="AP16" i="19"/>
  <c r="BI16" i="19"/>
  <c r="AU27" i="19"/>
  <c r="BI27" i="19"/>
  <c r="BJ27" i="19"/>
  <c r="AB25" i="19"/>
  <c r="AF25" i="19"/>
  <c r="AB28" i="19"/>
  <c r="AF28" i="19"/>
  <c r="AK28" i="19" s="1"/>
  <c r="AC25" i="19"/>
  <c r="AD25" i="19"/>
  <c r="C49" i="19"/>
  <c r="BJ37" i="19"/>
  <c r="BI37" i="19"/>
  <c r="BC37" i="19"/>
  <c r="AT37" i="19"/>
  <c r="AP37" i="19"/>
  <c r="AF37" i="19"/>
  <c r="AD37" i="19"/>
  <c r="AC37" i="19"/>
  <c r="AB37" i="19"/>
  <c r="BI36" i="19"/>
  <c r="AO36" i="19"/>
  <c r="AF36" i="19"/>
  <c r="AD36" i="19"/>
  <c r="AC36" i="19"/>
  <c r="AB36" i="19"/>
  <c r="AF35" i="19"/>
  <c r="AD35" i="19"/>
  <c r="AC35" i="19"/>
  <c r="AB35" i="19"/>
  <c r="AK35" i="19" s="1"/>
  <c r="BJ34" i="19"/>
  <c r="BI34" i="19"/>
  <c r="AF34" i="19"/>
  <c r="AD34" i="19"/>
  <c r="AC34" i="19"/>
  <c r="AB34" i="19"/>
  <c r="BJ33" i="19"/>
  <c r="BI33" i="19"/>
  <c r="BE33" i="19"/>
  <c r="AU33" i="19"/>
  <c r="AF33" i="19"/>
  <c r="AD33" i="19"/>
  <c r="AC33" i="19"/>
  <c r="AB33" i="19"/>
  <c r="BI29" i="19"/>
  <c r="AO29" i="19"/>
  <c r="AF29" i="19"/>
  <c r="AD29" i="19"/>
  <c r="AC29" i="19"/>
  <c r="AB29" i="19"/>
  <c r="AV28" i="19"/>
  <c r="AU28" i="19"/>
  <c r="AF27" i="19"/>
  <c r="AD27" i="19"/>
  <c r="AC27" i="19"/>
  <c r="AB27" i="19"/>
  <c r="BJ22" i="19"/>
  <c r="AF23" i="19"/>
  <c r="AD23" i="19"/>
  <c r="AC23" i="19"/>
  <c r="AB23" i="19"/>
  <c r="AK23" i="19" s="1"/>
  <c r="BJ23" i="19"/>
  <c r="BI23" i="19"/>
  <c r="AU23" i="19"/>
  <c r="AO23" i="19"/>
  <c r="AF19" i="19"/>
  <c r="AD19" i="19"/>
  <c r="AC19" i="19"/>
  <c r="AB19" i="19"/>
  <c r="BI26" i="19"/>
  <c r="AO26" i="19"/>
  <c r="AF26" i="19"/>
  <c r="AD26" i="19"/>
  <c r="AC26" i="19"/>
  <c r="AB26" i="19"/>
  <c r="AK26" i="19" s="1"/>
  <c r="AF10" i="19"/>
  <c r="AD10" i="19"/>
  <c r="AC10" i="19"/>
  <c r="AB10" i="19"/>
  <c r="AD28" i="19"/>
  <c r="AC28" i="19"/>
  <c r="BJ12" i="19"/>
  <c r="BI12" i="19"/>
  <c r="BA12" i="19"/>
  <c r="AV12" i="19"/>
  <c r="AF17" i="19"/>
  <c r="AD17" i="19"/>
  <c r="AC17" i="19"/>
  <c r="AB17" i="19"/>
  <c r="AK17" i="19" s="1"/>
  <c r="BI25" i="19"/>
  <c r="AY25" i="19"/>
  <c r="AV25" i="19"/>
  <c r="AU25" i="19"/>
  <c r="AT25" i="19"/>
  <c r="AF21" i="19"/>
  <c r="AD21" i="19"/>
  <c r="AC21" i="19"/>
  <c r="AB21" i="19"/>
  <c r="AK21" i="19" s="1"/>
  <c r="BI19" i="19"/>
  <c r="AU19" i="19"/>
  <c r="AT19" i="19"/>
  <c r="AF22" i="19"/>
  <c r="AD22" i="19"/>
  <c r="AC22" i="19"/>
  <c r="AB22" i="19"/>
  <c r="BI17" i="19"/>
  <c r="BA17" i="19"/>
  <c r="AP17" i="19"/>
  <c r="AO17" i="19"/>
  <c r="AF9" i="19"/>
  <c r="AD9" i="19"/>
  <c r="AC9" i="19"/>
  <c r="AB9" i="19"/>
  <c r="BI9" i="19"/>
  <c r="AO9" i="19"/>
  <c r="AF16" i="19"/>
  <c r="AD16" i="19"/>
  <c r="AC16" i="19"/>
  <c r="AB16" i="19"/>
  <c r="BI8" i="19"/>
  <c r="BH8" i="19"/>
  <c r="BA8" i="19"/>
  <c r="AT8" i="19"/>
  <c r="AF8" i="19"/>
  <c r="AD8" i="19"/>
  <c r="AC8" i="19"/>
  <c r="AB8" i="19"/>
  <c r="AU18" i="19"/>
  <c r="AT18" i="19"/>
  <c r="AO18" i="19"/>
  <c r="AF14" i="19"/>
  <c r="AD14" i="19"/>
  <c r="AC14" i="19"/>
  <c r="AB14" i="19"/>
  <c r="BH14" i="19"/>
  <c r="BA14" i="19"/>
  <c r="AO14" i="19"/>
  <c r="AF12" i="19"/>
  <c r="AD12" i="19"/>
  <c r="AC12" i="19"/>
  <c r="AB12" i="19"/>
  <c r="BI13" i="19"/>
  <c r="AO13" i="19"/>
  <c r="AF18" i="19"/>
  <c r="AD18" i="19"/>
  <c r="AC18" i="19"/>
  <c r="AB18" i="19"/>
  <c r="AK18" i="19" s="1"/>
  <c r="BL20" i="19"/>
  <c r="BJ20" i="19"/>
  <c r="AU20" i="19"/>
  <c r="AT20" i="19"/>
  <c r="AF24" i="19"/>
  <c r="AD24" i="19"/>
  <c r="AC24" i="19"/>
  <c r="AB24" i="19"/>
  <c r="BI24" i="19"/>
  <c r="AU24" i="19"/>
  <c r="AT24" i="19"/>
  <c r="AF20" i="19"/>
  <c r="AD20" i="19"/>
  <c r="AC20" i="19"/>
  <c r="AB20" i="19"/>
  <c r="AU11" i="19"/>
  <c r="AO11" i="19"/>
  <c r="AF11" i="19"/>
  <c r="AD11" i="19"/>
  <c r="AC11" i="19"/>
  <c r="AB11" i="19"/>
  <c r="BI15" i="19"/>
  <c r="AO15" i="19"/>
  <c r="AF13" i="19"/>
  <c r="AD13" i="19"/>
  <c r="AC13" i="19"/>
  <c r="AB13" i="19"/>
  <c r="BL21" i="19"/>
  <c r="BI21" i="19"/>
  <c r="AO21" i="19"/>
  <c r="AF15" i="19"/>
  <c r="AD15" i="19"/>
  <c r="AC15" i="19"/>
  <c r="AB15" i="19"/>
  <c r="AK15" i="19" s="1"/>
  <c r="BG4" i="19"/>
  <c r="BF4" i="19"/>
  <c r="BE4" i="19"/>
  <c r="BD4" i="19"/>
  <c r="BC4" i="19"/>
  <c r="BB4" i="19"/>
  <c r="BA4" i="19"/>
  <c r="AZ4" i="19"/>
  <c r="AY4" i="19"/>
  <c r="AX4" i="19"/>
  <c r="AW4" i="19"/>
  <c r="AV4" i="19"/>
  <c r="AU4" i="19"/>
  <c r="AT4" i="19"/>
  <c r="AS4" i="19"/>
  <c r="AR4" i="19"/>
  <c r="AQ4" i="19"/>
  <c r="AP4" i="19"/>
  <c r="AO4" i="19"/>
  <c r="AN4" i="19"/>
  <c r="M23" i="16"/>
  <c r="M31" i="16"/>
  <c r="M21" i="16"/>
  <c r="M29" i="16"/>
  <c r="M20" i="16"/>
  <c r="M30" i="16"/>
  <c r="M28" i="6"/>
  <c r="M29" i="6"/>
  <c r="M30" i="6"/>
  <c r="M18" i="6"/>
  <c r="M27" i="6"/>
  <c r="M27" i="9"/>
  <c r="M28" i="4"/>
  <c r="M29" i="4"/>
  <c r="M24" i="4"/>
  <c r="M30" i="4"/>
  <c r="M31" i="4"/>
  <c r="M47" i="3"/>
  <c r="M48" i="3"/>
  <c r="M49" i="3"/>
  <c r="M50" i="3"/>
  <c r="M51" i="3"/>
  <c r="M52" i="3"/>
  <c r="M35" i="3"/>
  <c r="M38" i="3"/>
  <c r="M32" i="3"/>
  <c r="M39" i="3"/>
  <c r="M36" i="3"/>
  <c r="M33" i="3"/>
  <c r="M41" i="3"/>
  <c r="M42" i="3"/>
  <c r="M43" i="3"/>
  <c r="M44" i="3"/>
  <c r="M45" i="3"/>
  <c r="M46" i="3"/>
  <c r="BL33" i="18"/>
  <c r="AB8" i="8"/>
  <c r="AB9" i="8"/>
  <c r="AB10" i="8"/>
  <c r="AB12" i="8"/>
  <c r="AB7" i="8"/>
  <c r="AB13" i="8"/>
  <c r="AB18" i="8"/>
  <c r="AB17" i="8"/>
  <c r="AB14" i="8"/>
  <c r="AB4" i="8"/>
  <c r="AB16" i="8"/>
  <c r="AB11" i="8"/>
  <c r="AB6" i="8"/>
  <c r="AB5" i="8"/>
  <c r="AB15" i="8"/>
  <c r="AB19" i="8"/>
  <c r="BI34" i="18"/>
  <c r="BI35" i="18"/>
  <c r="AB35" i="18"/>
  <c r="AC35" i="18"/>
  <c r="AD35" i="18"/>
  <c r="AF35" i="18"/>
  <c r="AB11" i="15"/>
  <c r="E26" i="5"/>
  <c r="F26" i="5"/>
  <c r="G26" i="5"/>
  <c r="H26" i="5"/>
  <c r="I26" i="5"/>
  <c r="J26" i="5"/>
  <c r="K26" i="5"/>
  <c r="L26" i="5"/>
  <c r="M26" i="5"/>
  <c r="N26" i="5"/>
  <c r="U26" i="5"/>
  <c r="O26" i="5"/>
  <c r="P26" i="5"/>
  <c r="Q26" i="5"/>
  <c r="R26" i="5"/>
  <c r="S26" i="5"/>
  <c r="T26" i="5"/>
  <c r="V26" i="5"/>
  <c r="W26" i="5"/>
  <c r="X26" i="5"/>
  <c r="Y26" i="5"/>
  <c r="Z26" i="5"/>
  <c r="AA26" i="5"/>
  <c r="D26" i="5"/>
  <c r="C26" i="5"/>
  <c r="AB26" i="5"/>
  <c r="AB18" i="15"/>
  <c r="AB5" i="5"/>
  <c r="AB15" i="5"/>
  <c r="M35" i="4"/>
  <c r="L33" i="4"/>
  <c r="K33" i="4"/>
  <c r="I33" i="4"/>
  <c r="H33" i="4"/>
  <c r="G33" i="4"/>
  <c r="F33" i="4"/>
  <c r="E33" i="4"/>
  <c r="D33" i="4"/>
  <c r="C33" i="4"/>
  <c r="M33" i="4"/>
  <c r="N35" i="4"/>
  <c r="M32" i="4"/>
  <c r="M27" i="4"/>
  <c r="M26" i="4"/>
  <c r="M25" i="4"/>
  <c r="M23" i="4"/>
  <c r="M18" i="4"/>
  <c r="M22" i="4"/>
  <c r="M21" i="4"/>
  <c r="M20" i="4"/>
  <c r="M19" i="4"/>
  <c r="M12" i="4"/>
  <c r="M17" i="4"/>
  <c r="M16" i="4"/>
  <c r="M15" i="4"/>
  <c r="M14" i="4"/>
  <c r="M10" i="4"/>
  <c r="M11" i="4"/>
  <c r="M13" i="4"/>
  <c r="M8" i="4"/>
  <c r="M9" i="4"/>
  <c r="M7" i="4"/>
  <c r="M6" i="4"/>
  <c r="M5" i="4"/>
  <c r="M4" i="4"/>
  <c r="M3" i="4"/>
  <c r="M2" i="4"/>
  <c r="BI38" i="18"/>
  <c r="BI39" i="18"/>
  <c r="AB38" i="18"/>
  <c r="AC38" i="18"/>
  <c r="AD38" i="18"/>
  <c r="AF38" i="18"/>
  <c r="AB39" i="18"/>
  <c r="AC39" i="18"/>
  <c r="AD39" i="18"/>
  <c r="AF39" i="18"/>
  <c r="BI27" i="18"/>
  <c r="BI28" i="18"/>
  <c r="BI29" i="18"/>
  <c r="BI30" i="18"/>
  <c r="BI31" i="18"/>
  <c r="BI32" i="18"/>
  <c r="AB27" i="18"/>
  <c r="AK27" i="18" s="1"/>
  <c r="AC27" i="18"/>
  <c r="AD27" i="18"/>
  <c r="AF27" i="18"/>
  <c r="AB28" i="18"/>
  <c r="AC28" i="18"/>
  <c r="AD28" i="18"/>
  <c r="AF28" i="18"/>
  <c r="AK28" i="18" s="1"/>
  <c r="AB29" i="18"/>
  <c r="AC29" i="18"/>
  <c r="AD29" i="18"/>
  <c r="AF29" i="18"/>
  <c r="AB30" i="18"/>
  <c r="AC30" i="18"/>
  <c r="AD30" i="18"/>
  <c r="AF30" i="18"/>
  <c r="AK30" i="18" s="1"/>
  <c r="AB31" i="18"/>
  <c r="AK31" i="18" s="1"/>
  <c r="AC31" i="18"/>
  <c r="AD31" i="18"/>
  <c r="AF31" i="18"/>
  <c r="AB7" i="18"/>
  <c r="C51" i="18"/>
  <c r="Z40" i="18"/>
  <c r="Z42" i="18" s="1"/>
  <c r="Y40" i="18"/>
  <c r="Y42" i="18"/>
  <c r="BJ25" i="18" s="1"/>
  <c r="X40" i="18"/>
  <c r="W40" i="18"/>
  <c r="W42" i="18" s="1"/>
  <c r="V40" i="18"/>
  <c r="V42" i="18" s="1"/>
  <c r="BG10" i="18" s="1"/>
  <c r="S40" i="18"/>
  <c r="S42" i="18" s="1"/>
  <c r="BF28" i="18" s="1"/>
  <c r="R40" i="18"/>
  <c r="R42" i="18"/>
  <c r="BE18" i="18" s="1"/>
  <c r="Q40" i="18"/>
  <c r="Q42" i="18" s="1"/>
  <c r="P40" i="18"/>
  <c r="P42" i="18" s="1"/>
  <c r="U40" i="18"/>
  <c r="U42" i="18" s="1"/>
  <c r="O40" i="18"/>
  <c r="O42" i="18" s="1"/>
  <c r="BA18" i="18" s="1"/>
  <c r="T40" i="18"/>
  <c r="T42" i="18" s="1"/>
  <c r="N40" i="18"/>
  <c r="N42" i="18" s="1"/>
  <c r="AY38" i="18" s="1"/>
  <c r="M40" i="18"/>
  <c r="M42" i="18" s="1"/>
  <c r="AX30" i="18" s="1"/>
  <c r="L40" i="18"/>
  <c r="L42" i="18" s="1"/>
  <c r="K40" i="18"/>
  <c r="K42" i="18" s="1"/>
  <c r="AV36" i="18" s="1"/>
  <c r="J40" i="18"/>
  <c r="J42" i="18"/>
  <c r="AU23" i="18" s="1"/>
  <c r="I40" i="18"/>
  <c r="I42" i="18" s="1"/>
  <c r="H40" i="18"/>
  <c r="H42" i="18" s="1"/>
  <c r="AS18" i="18" s="1"/>
  <c r="G40" i="18"/>
  <c r="G42" i="18" s="1"/>
  <c r="F40" i="18"/>
  <c r="F42" i="18" s="1"/>
  <c r="AQ35" i="18" s="1"/>
  <c r="E40" i="18"/>
  <c r="D40" i="18"/>
  <c r="D42" i="18"/>
  <c r="AO18" i="18" s="1"/>
  <c r="C40" i="18"/>
  <c r="C42" i="18" s="1"/>
  <c r="BI37" i="18"/>
  <c r="AQ37" i="18"/>
  <c r="AF37" i="18"/>
  <c r="AD37" i="18"/>
  <c r="AC37" i="18"/>
  <c r="AB37" i="18"/>
  <c r="AK37" i="18" s="1"/>
  <c r="BI36" i="18"/>
  <c r="AO36" i="18"/>
  <c r="AF36" i="18"/>
  <c r="AK36" i="18" s="1"/>
  <c r="AD36" i="18"/>
  <c r="AC36" i="18"/>
  <c r="AB36" i="18"/>
  <c r="AF34" i="18"/>
  <c r="AD34" i="18"/>
  <c r="AC34" i="18"/>
  <c r="AB34" i="18"/>
  <c r="BI33" i="18"/>
  <c r="AF33" i="18"/>
  <c r="AD33" i="18"/>
  <c r="AC33" i="18"/>
  <c r="AB33" i="18"/>
  <c r="AK33" i="18" s="1"/>
  <c r="AF32" i="18"/>
  <c r="AD32" i="18"/>
  <c r="AC32" i="18"/>
  <c r="AB32" i="18"/>
  <c r="BI7" i="18"/>
  <c r="AF7" i="18"/>
  <c r="AD7" i="18"/>
  <c r="AC7" i="18"/>
  <c r="BI26" i="18"/>
  <c r="AO26" i="18"/>
  <c r="AF26" i="18"/>
  <c r="AD26" i="18"/>
  <c r="AC26" i="18"/>
  <c r="AB26" i="18"/>
  <c r="BI8" i="18"/>
  <c r="AQ8" i="18"/>
  <c r="AO8" i="18"/>
  <c r="AF8" i="18"/>
  <c r="AD8" i="18"/>
  <c r="AC8" i="18"/>
  <c r="AB8" i="18"/>
  <c r="BI24" i="18"/>
  <c r="AF24" i="18"/>
  <c r="AD24" i="18"/>
  <c r="AC24" i="18"/>
  <c r="AB24" i="18"/>
  <c r="AK24" i="18" s="1"/>
  <c r="BI19" i="18"/>
  <c r="AQ19" i="18"/>
  <c r="AO19" i="18"/>
  <c r="AF19" i="18"/>
  <c r="AD19" i="18"/>
  <c r="AC19" i="18"/>
  <c r="AB19" i="18"/>
  <c r="BI10" i="18"/>
  <c r="AF10" i="18"/>
  <c r="AD10" i="18"/>
  <c r="AC10" i="18"/>
  <c r="AB10" i="18"/>
  <c r="AK10" i="18" s="1"/>
  <c r="BI18" i="18"/>
  <c r="AF18" i="18"/>
  <c r="AD18" i="18"/>
  <c r="AC18" i="18"/>
  <c r="AB18" i="18"/>
  <c r="AK18" i="18" s="1"/>
  <c r="BI11" i="18"/>
  <c r="AQ11" i="18"/>
  <c r="AO11" i="18"/>
  <c r="AF11" i="18"/>
  <c r="AD11" i="18"/>
  <c r="AC11" i="18"/>
  <c r="AB11" i="18"/>
  <c r="BI15" i="18"/>
  <c r="AF15" i="18"/>
  <c r="AD15" i="18"/>
  <c r="AC15" i="18"/>
  <c r="AB15" i="18"/>
  <c r="AK15" i="18" s="1"/>
  <c r="BI9" i="18"/>
  <c r="BA9" i="18"/>
  <c r="AY9" i="18"/>
  <c r="AS9" i="18"/>
  <c r="AF9" i="18"/>
  <c r="AD9" i="18"/>
  <c r="AC9" i="18"/>
  <c r="AB9" i="18"/>
  <c r="BI22" i="18"/>
  <c r="AS22" i="18"/>
  <c r="AO22" i="18"/>
  <c r="AF22" i="18"/>
  <c r="AD22" i="18"/>
  <c r="AC22" i="18"/>
  <c r="AB22" i="18"/>
  <c r="AK22" i="18"/>
  <c r="BI12" i="18"/>
  <c r="AF12" i="18"/>
  <c r="AD12" i="18"/>
  <c r="AC12" i="18"/>
  <c r="AB12" i="18"/>
  <c r="BI25" i="18"/>
  <c r="AS25" i="18"/>
  <c r="AF25" i="18"/>
  <c r="AD25" i="18"/>
  <c r="AC25" i="18"/>
  <c r="AB25" i="18"/>
  <c r="AK25" i="18"/>
  <c r="BI16" i="18"/>
  <c r="AS16" i="18"/>
  <c r="AQ16" i="18"/>
  <c r="AF16" i="18"/>
  <c r="AD16" i="18"/>
  <c r="AC16" i="18"/>
  <c r="AB16" i="18"/>
  <c r="BI14" i="18"/>
  <c r="AF14" i="18"/>
  <c r="AD14" i="18"/>
  <c r="AC14" i="18"/>
  <c r="AB14" i="18"/>
  <c r="AK14" i="18" s="1"/>
  <c r="BI13" i="18"/>
  <c r="AQ13" i="18"/>
  <c r="AO13" i="18"/>
  <c r="AF13" i="18"/>
  <c r="AD13" i="18"/>
  <c r="AC13" i="18"/>
  <c r="AB13" i="18"/>
  <c r="BI17" i="18"/>
  <c r="AQ17" i="18"/>
  <c r="AF17" i="18"/>
  <c r="AD17" i="18"/>
  <c r="AC17" i="18"/>
  <c r="AB17" i="18"/>
  <c r="BI23" i="18"/>
  <c r="BA23" i="18"/>
  <c r="AF23" i="18"/>
  <c r="AD23" i="18"/>
  <c r="AC23" i="18"/>
  <c r="AB23" i="18"/>
  <c r="AK23" i="18" s="1"/>
  <c r="BI20" i="18"/>
  <c r="AS20" i="18"/>
  <c r="AO20" i="18"/>
  <c r="AF20" i="18"/>
  <c r="AD20" i="18"/>
  <c r="AC20" i="18"/>
  <c r="AB20" i="18"/>
  <c r="BI21" i="18"/>
  <c r="AO21" i="18"/>
  <c r="AF21" i="18"/>
  <c r="AD21" i="18"/>
  <c r="AC21" i="18"/>
  <c r="AB21" i="18"/>
  <c r="AK21" i="18" s="1"/>
  <c r="BG4" i="18"/>
  <c r="BF4" i="18"/>
  <c r="BE4" i="18"/>
  <c r="BD4" i="18"/>
  <c r="BC4" i="18"/>
  <c r="BB4" i="18"/>
  <c r="BA4" i="18"/>
  <c r="AZ4" i="18"/>
  <c r="AY4" i="18"/>
  <c r="AX4" i="18"/>
  <c r="AW4" i="18"/>
  <c r="AV4" i="18"/>
  <c r="AU4" i="18"/>
  <c r="AT4" i="18"/>
  <c r="AS4" i="18"/>
  <c r="AR4" i="18"/>
  <c r="AQ4" i="18"/>
  <c r="AP4" i="18"/>
  <c r="AO4" i="18"/>
  <c r="AN4" i="18"/>
  <c r="AB21" i="2"/>
  <c r="D62" i="3"/>
  <c r="E62" i="3"/>
  <c r="F62" i="3"/>
  <c r="G62" i="3"/>
  <c r="H62" i="3"/>
  <c r="I62" i="3"/>
  <c r="M14" i="3"/>
  <c r="M17" i="3"/>
  <c r="M15" i="3"/>
  <c r="M22" i="3"/>
  <c r="M23" i="3"/>
  <c r="M20" i="3"/>
  <c r="M25" i="3"/>
  <c r="M16" i="3"/>
  <c r="M26" i="3"/>
  <c r="M28" i="3"/>
  <c r="M29" i="3"/>
  <c r="M30" i="3"/>
  <c r="M31" i="3"/>
  <c r="M24" i="3"/>
  <c r="M27" i="3"/>
  <c r="M40" i="3"/>
  <c r="M21" i="3"/>
  <c r="M37" i="3"/>
  <c r="M34" i="3"/>
  <c r="X36" i="17"/>
  <c r="C47" i="17"/>
  <c r="BI8" i="17"/>
  <c r="BI9" i="17"/>
  <c r="BI10" i="17"/>
  <c r="BI11" i="17"/>
  <c r="BI12" i="17"/>
  <c r="BI13" i="17"/>
  <c r="BI14" i="17"/>
  <c r="BI15" i="17"/>
  <c r="BI16" i="17"/>
  <c r="BI17" i="17"/>
  <c r="BI18" i="17"/>
  <c r="BI19" i="17"/>
  <c r="BI20" i="17"/>
  <c r="BI21" i="17"/>
  <c r="BI22" i="17"/>
  <c r="BI23" i="17"/>
  <c r="BI24" i="17"/>
  <c r="BI25" i="17"/>
  <c r="BI26" i="17"/>
  <c r="BI27" i="17"/>
  <c r="BI28" i="17"/>
  <c r="BI29" i="17"/>
  <c r="BI30" i="17"/>
  <c r="BI31" i="17"/>
  <c r="BI32" i="17"/>
  <c r="BI33" i="17"/>
  <c r="BI34" i="17"/>
  <c r="BI35" i="17"/>
  <c r="BI7" i="17"/>
  <c r="AO4" i="17"/>
  <c r="AP4" i="17"/>
  <c r="AQ4" i="17"/>
  <c r="AR4" i="17"/>
  <c r="AS4" i="17"/>
  <c r="AT4" i="17"/>
  <c r="AU4" i="17"/>
  <c r="AV4" i="17"/>
  <c r="AW4" i="17"/>
  <c r="AX4" i="17"/>
  <c r="AY4" i="17"/>
  <c r="AZ4" i="17"/>
  <c r="BA4" i="17"/>
  <c r="BB4" i="17"/>
  <c r="BC4" i="17"/>
  <c r="BD4" i="17"/>
  <c r="BE4" i="17"/>
  <c r="BF4" i="17"/>
  <c r="BG4" i="17"/>
  <c r="AN4" i="17"/>
  <c r="W36" i="17"/>
  <c r="W38" i="17" s="1"/>
  <c r="BH15" i="17" s="1"/>
  <c r="Y36" i="17"/>
  <c r="Y38" i="17" s="1"/>
  <c r="BJ24" i="17" s="1"/>
  <c r="Z36" i="17"/>
  <c r="Z38" i="17" s="1"/>
  <c r="BK24" i="17" s="1"/>
  <c r="AA36" i="17"/>
  <c r="AA38" i="17" s="1"/>
  <c r="W23" i="2"/>
  <c r="X23" i="2"/>
  <c r="Y23" i="2"/>
  <c r="Z23" i="2"/>
  <c r="AA23" i="2"/>
  <c r="E23" i="2"/>
  <c r="F23" i="2"/>
  <c r="G23" i="2"/>
  <c r="H23" i="2"/>
  <c r="I23" i="2"/>
  <c r="J23" i="2"/>
  <c r="K23" i="2"/>
  <c r="L23" i="2"/>
  <c r="M23" i="2"/>
  <c r="N23" i="2"/>
  <c r="U23" i="2"/>
  <c r="O23" i="2"/>
  <c r="P23" i="2"/>
  <c r="Q23" i="2"/>
  <c r="R23" i="2"/>
  <c r="S23" i="2"/>
  <c r="T23" i="2"/>
  <c r="V23" i="2"/>
  <c r="D23" i="2"/>
  <c r="C23" i="2"/>
  <c r="AB13" i="17"/>
  <c r="AK13" i="17" s="1"/>
  <c r="W19" i="13"/>
  <c r="AG19" i="13" s="1"/>
  <c r="X19" i="13"/>
  <c r="Y19" i="13"/>
  <c r="AA19" i="13"/>
  <c r="W13" i="13"/>
  <c r="X13" i="13"/>
  <c r="Y13" i="13"/>
  <c r="AA13" i="13"/>
  <c r="AG13" i="13"/>
  <c r="W27" i="13"/>
  <c r="X27" i="13"/>
  <c r="Y27" i="13"/>
  <c r="AA27" i="13"/>
  <c r="AG27" i="13"/>
  <c r="W28" i="13"/>
  <c r="X28" i="13"/>
  <c r="Y28" i="13"/>
  <c r="AA28" i="13"/>
  <c r="W7" i="13"/>
  <c r="X7" i="13"/>
  <c r="Y7" i="13"/>
  <c r="AA7" i="13"/>
  <c r="AG7" i="13"/>
  <c r="W8" i="13"/>
  <c r="AG8" i="13" s="1"/>
  <c r="X8" i="13"/>
  <c r="Y8" i="13"/>
  <c r="AA8" i="13"/>
  <c r="W14" i="13"/>
  <c r="X14" i="13"/>
  <c r="Y14" i="13"/>
  <c r="AA14" i="13"/>
  <c r="W15" i="13"/>
  <c r="X15" i="13"/>
  <c r="Y15" i="13"/>
  <c r="AA15" i="13"/>
  <c r="W16" i="13"/>
  <c r="AG16" i="13" s="1"/>
  <c r="X16" i="13"/>
  <c r="Y16" i="13"/>
  <c r="AA16" i="13"/>
  <c r="W12" i="13"/>
  <c r="AG12" i="13" s="1"/>
  <c r="X12" i="13"/>
  <c r="Y12" i="13"/>
  <c r="AA12" i="13"/>
  <c r="W17" i="13"/>
  <c r="X17" i="13"/>
  <c r="Y17" i="13"/>
  <c r="AA17" i="13"/>
  <c r="W20" i="13"/>
  <c r="X20" i="13"/>
  <c r="Y20" i="13"/>
  <c r="AA20" i="13"/>
  <c r="AG20" i="13"/>
  <c r="W9" i="13"/>
  <c r="AG9" i="13" s="1"/>
  <c r="X9" i="13"/>
  <c r="Y9" i="13"/>
  <c r="AA9" i="13"/>
  <c r="W18" i="13"/>
  <c r="X18" i="13"/>
  <c r="Y18" i="13"/>
  <c r="AA18" i="13"/>
  <c r="W21" i="13"/>
  <c r="X21" i="13"/>
  <c r="Y21" i="13"/>
  <c r="AA21" i="13"/>
  <c r="AG21" i="13"/>
  <c r="W22" i="13"/>
  <c r="AG22" i="13" s="1"/>
  <c r="X22" i="13"/>
  <c r="Y22" i="13"/>
  <c r="AA22" i="13"/>
  <c r="W10" i="13"/>
  <c r="X10" i="13"/>
  <c r="Y10" i="13"/>
  <c r="AA10" i="13"/>
  <c r="W24" i="13"/>
  <c r="X24" i="13"/>
  <c r="Y24" i="13"/>
  <c r="AA24" i="13"/>
  <c r="W25" i="13"/>
  <c r="X25" i="13"/>
  <c r="Y25" i="13"/>
  <c r="AA25" i="13"/>
  <c r="AG25" i="13"/>
  <c r="W23" i="13"/>
  <c r="X23" i="13"/>
  <c r="Y23" i="13"/>
  <c r="AA23" i="13"/>
  <c r="W29" i="13"/>
  <c r="AG29" i="13" s="1"/>
  <c r="X29" i="13"/>
  <c r="Y29" i="13"/>
  <c r="AA29" i="13"/>
  <c r="W30" i="13"/>
  <c r="X30" i="13"/>
  <c r="Y30" i="13"/>
  <c r="AA30" i="13"/>
  <c r="AG30" i="13"/>
  <c r="W26" i="13"/>
  <c r="X26" i="13"/>
  <c r="Y26" i="13"/>
  <c r="AA26" i="13"/>
  <c r="W11" i="13"/>
  <c r="X11" i="13"/>
  <c r="Y11" i="13"/>
  <c r="AA11" i="13"/>
  <c r="AG11" i="13"/>
  <c r="H36" i="17"/>
  <c r="I36" i="17"/>
  <c r="J36" i="17"/>
  <c r="J38" i="17" s="1"/>
  <c r="K36" i="17"/>
  <c r="K38" i="17" s="1"/>
  <c r="AB35" i="17"/>
  <c r="AC35" i="17"/>
  <c r="AD35" i="17"/>
  <c r="AF35" i="17"/>
  <c r="AK35" i="17" s="1"/>
  <c r="AB29" i="17"/>
  <c r="AC29" i="17"/>
  <c r="AD29" i="17"/>
  <c r="AF29" i="17"/>
  <c r="AB31" i="17"/>
  <c r="AC31" i="17"/>
  <c r="AD31" i="17"/>
  <c r="AF31" i="17"/>
  <c r="AB30" i="17"/>
  <c r="V36" i="17"/>
  <c r="V38" i="17"/>
  <c r="BG17" i="17" s="1"/>
  <c r="T36" i="17"/>
  <c r="T38" i="17" s="1"/>
  <c r="BE11" i="17" s="1"/>
  <c r="S36" i="17"/>
  <c r="S38" i="17"/>
  <c r="BD20" i="17" s="1"/>
  <c r="R36" i="17"/>
  <c r="R38" i="17"/>
  <c r="BC23" i="17" s="1"/>
  <c r="Q36" i="17"/>
  <c r="Q38" i="17"/>
  <c r="BB17" i="17" s="1"/>
  <c r="P36" i="17"/>
  <c r="P38" i="17"/>
  <c r="BA17" i="17" s="1"/>
  <c r="U36" i="17"/>
  <c r="U38" i="17"/>
  <c r="O36" i="17"/>
  <c r="O38" i="17"/>
  <c r="N36" i="17"/>
  <c r="N38" i="17" s="1"/>
  <c r="M36" i="17"/>
  <c r="M38" i="17" s="1"/>
  <c r="L36" i="17"/>
  <c r="L38" i="17"/>
  <c r="AW14" i="17" s="1"/>
  <c r="I38" i="17"/>
  <c r="AT10" i="17" s="1"/>
  <c r="H38" i="17"/>
  <c r="AS19" i="17" s="1"/>
  <c r="G36" i="17"/>
  <c r="G38" i="17" s="1"/>
  <c r="AR18" i="17" s="1"/>
  <c r="F36" i="17"/>
  <c r="F38" i="17"/>
  <c r="AQ12" i="17" s="1"/>
  <c r="E36" i="17"/>
  <c r="E38" i="17"/>
  <c r="AP8" i="17" s="1"/>
  <c r="D36" i="17"/>
  <c r="D38" i="17"/>
  <c r="C36" i="17"/>
  <c r="AF24" i="17"/>
  <c r="AD24" i="17"/>
  <c r="AC24" i="17"/>
  <c r="AB24" i="17"/>
  <c r="AF30" i="17"/>
  <c r="AD30" i="17"/>
  <c r="AC30" i="17"/>
  <c r="AG30" i="17" s="1"/>
  <c r="AF34" i="17"/>
  <c r="AK34" i="17" s="1"/>
  <c r="AD34" i="17"/>
  <c r="AC34" i="17"/>
  <c r="AB34" i="17"/>
  <c r="AF33" i="17"/>
  <c r="AD33" i="17"/>
  <c r="AC33" i="17"/>
  <c r="AB33" i="17"/>
  <c r="AK33" i="17"/>
  <c r="AF23" i="17"/>
  <c r="AD23" i="17"/>
  <c r="AC23" i="17"/>
  <c r="AB23" i="17"/>
  <c r="AF32" i="17"/>
  <c r="AD32" i="17"/>
  <c r="AC32" i="17"/>
  <c r="AB32" i="17"/>
  <c r="AK32" i="17" s="1"/>
  <c r="AF27" i="17"/>
  <c r="AD27" i="17"/>
  <c r="AC27" i="17"/>
  <c r="AB27" i="17"/>
  <c r="AF20" i="17"/>
  <c r="AD20" i="17"/>
  <c r="AC20" i="17"/>
  <c r="AB20" i="17"/>
  <c r="AF16" i="17"/>
  <c r="AD16" i="17"/>
  <c r="AC16" i="17"/>
  <c r="AB16" i="17"/>
  <c r="AG16" i="17" s="1"/>
  <c r="AF26" i="17"/>
  <c r="AD26" i="17"/>
  <c r="AC26" i="17"/>
  <c r="AB26" i="17"/>
  <c r="AK26" i="17" s="1"/>
  <c r="AF18" i="17"/>
  <c r="AD18" i="17"/>
  <c r="AC18" i="17"/>
  <c r="AB18" i="17"/>
  <c r="AF9" i="17"/>
  <c r="AD9" i="17"/>
  <c r="AC9" i="17"/>
  <c r="AG9" i="17" s="1"/>
  <c r="AB9" i="17"/>
  <c r="AF17" i="17"/>
  <c r="AD17" i="17"/>
  <c r="AC17" i="17"/>
  <c r="AB17" i="17"/>
  <c r="AK17" i="17" s="1"/>
  <c r="AF22" i="17"/>
  <c r="AD22" i="17"/>
  <c r="AC22" i="17"/>
  <c r="AB22" i="17"/>
  <c r="AK22" i="17" s="1"/>
  <c r="AF11" i="17"/>
  <c r="AD11" i="17"/>
  <c r="AC11" i="17"/>
  <c r="AB11" i="17"/>
  <c r="AF10" i="17"/>
  <c r="AK10" i="17" s="1"/>
  <c r="AD10" i="17"/>
  <c r="AC10" i="17"/>
  <c r="AB10" i="17"/>
  <c r="AF13" i="17"/>
  <c r="AD13" i="17"/>
  <c r="AC13" i="17"/>
  <c r="AF19" i="17"/>
  <c r="AD19" i="17"/>
  <c r="AC19" i="17"/>
  <c r="AB19" i="17"/>
  <c r="AK19" i="17" s="1"/>
  <c r="AF8" i="17"/>
  <c r="AD8" i="17"/>
  <c r="AC8" i="17"/>
  <c r="AB8" i="17"/>
  <c r="AF14" i="17"/>
  <c r="AD14" i="17"/>
  <c r="AC14" i="17"/>
  <c r="AB14" i="17"/>
  <c r="AK14" i="17" s="1"/>
  <c r="AF25" i="17"/>
  <c r="AD25" i="17"/>
  <c r="AC25" i="17"/>
  <c r="AB25" i="17"/>
  <c r="AK25" i="17" s="1"/>
  <c r="AF7" i="17"/>
  <c r="AD7" i="17"/>
  <c r="AC7" i="17"/>
  <c r="AB7" i="17"/>
  <c r="AF12" i="17"/>
  <c r="AD12" i="17"/>
  <c r="AC12" i="17"/>
  <c r="AB12" i="17"/>
  <c r="AF21" i="17"/>
  <c r="AD21" i="17"/>
  <c r="AC21" i="17"/>
  <c r="AB21" i="17"/>
  <c r="AK21" i="17" s="1"/>
  <c r="AF15" i="17"/>
  <c r="AD15" i="17"/>
  <c r="AC15" i="17"/>
  <c r="AB15" i="17"/>
  <c r="AK15" i="17" s="1"/>
  <c r="AF28" i="17"/>
  <c r="AD28" i="17"/>
  <c r="AC28" i="17"/>
  <c r="AB28" i="17"/>
  <c r="AK28" i="17" s="1"/>
  <c r="G31" i="6"/>
  <c r="H31" i="6"/>
  <c r="J31" i="6"/>
  <c r="K31" i="6"/>
  <c r="L31" i="6"/>
  <c r="M7" i="6"/>
  <c r="M13" i="6"/>
  <c r="M14" i="6"/>
  <c r="M4" i="6"/>
  <c r="M3" i="6"/>
  <c r="M5" i="6"/>
  <c r="M12" i="6"/>
  <c r="M19" i="6"/>
  <c r="M20" i="6"/>
  <c r="M16" i="6"/>
  <c r="M21" i="6"/>
  <c r="M22" i="6"/>
  <c r="M23" i="6"/>
  <c r="M8" i="6"/>
  <c r="M24" i="6"/>
  <c r="M17" i="6"/>
  <c r="M25" i="6"/>
  <c r="M9" i="6"/>
  <c r="M6" i="6"/>
  <c r="M26" i="6"/>
  <c r="M15" i="6"/>
  <c r="M2" i="6"/>
  <c r="M11" i="6"/>
  <c r="M10" i="6"/>
  <c r="M3" i="9"/>
  <c r="M2" i="9"/>
  <c r="M5" i="9"/>
  <c r="M12" i="9"/>
  <c r="M11" i="9"/>
  <c r="M14" i="9"/>
  <c r="M17" i="9"/>
  <c r="M9" i="9"/>
  <c r="M4" i="9"/>
  <c r="M8" i="9"/>
  <c r="M18" i="9"/>
  <c r="M10" i="9"/>
  <c r="M15" i="9"/>
  <c r="M19" i="9"/>
  <c r="M13" i="9"/>
  <c r="M16" i="9"/>
  <c r="M23" i="9"/>
  <c r="M24" i="9"/>
  <c r="M25" i="9"/>
  <c r="M20" i="9"/>
  <c r="M21" i="9"/>
  <c r="M22" i="9"/>
  <c r="M26" i="9"/>
  <c r="M6" i="9"/>
  <c r="N36" i="14"/>
  <c r="N38" i="14" s="1"/>
  <c r="AY27" i="14" s="1"/>
  <c r="AB17" i="2"/>
  <c r="AB8" i="2"/>
  <c r="AB16" i="15"/>
  <c r="AB15" i="15"/>
  <c r="AB20" i="15"/>
  <c r="AB4" i="15"/>
  <c r="AB7" i="15"/>
  <c r="AB5" i="15"/>
  <c r="M17" i="16"/>
  <c r="M2" i="16"/>
  <c r="M3" i="16"/>
  <c r="M28" i="16"/>
  <c r="M13" i="16"/>
  <c r="M11" i="16"/>
  <c r="M22" i="16"/>
  <c r="M25" i="16"/>
  <c r="M4" i="16"/>
  <c r="M10" i="16"/>
  <c r="M18" i="16"/>
  <c r="M7" i="16"/>
  <c r="M19" i="16"/>
  <c r="M12" i="16"/>
  <c r="M8" i="16"/>
  <c r="M5" i="16"/>
  <c r="M24" i="16"/>
  <c r="M9" i="16"/>
  <c r="M15" i="16"/>
  <c r="M16" i="16"/>
  <c r="M26" i="16"/>
  <c r="M27" i="16"/>
  <c r="M6" i="16"/>
  <c r="M14" i="16"/>
  <c r="AB8" i="15"/>
  <c r="AB12" i="15"/>
  <c r="AB21" i="15"/>
  <c r="AB10" i="15"/>
  <c r="AB14" i="15"/>
  <c r="AB19" i="15"/>
  <c r="AB17" i="15"/>
  <c r="AB9" i="15"/>
  <c r="AB6" i="15"/>
  <c r="AB13" i="15"/>
  <c r="AB25" i="14"/>
  <c r="AC25" i="14"/>
  <c r="AD25" i="14"/>
  <c r="AF25" i="14"/>
  <c r="AB30" i="14"/>
  <c r="AK30" i="14" s="1"/>
  <c r="AC30" i="14"/>
  <c r="AD30" i="14"/>
  <c r="AF30" i="14"/>
  <c r="I54" i="3"/>
  <c r="I60" i="3"/>
  <c r="C62" i="3"/>
  <c r="AA32" i="1"/>
  <c r="E54" i="3"/>
  <c r="E60" i="3"/>
  <c r="F54" i="3"/>
  <c r="F60" i="3"/>
  <c r="G54" i="3"/>
  <c r="G60" i="3"/>
  <c r="H54" i="3"/>
  <c r="H60" i="3"/>
  <c r="J54" i="3"/>
  <c r="K54" i="3"/>
  <c r="L54" i="3"/>
  <c r="D54" i="3"/>
  <c r="D60" i="3"/>
  <c r="C54" i="3"/>
  <c r="C60" i="3"/>
  <c r="AB20" i="2"/>
  <c r="AB19" i="14"/>
  <c r="AC19" i="14"/>
  <c r="AD19" i="14"/>
  <c r="AF19" i="14"/>
  <c r="AB27" i="14"/>
  <c r="AK27" i="14" s="1"/>
  <c r="AC27" i="14"/>
  <c r="AD27" i="14"/>
  <c r="AF27" i="14"/>
  <c r="AB34" i="14"/>
  <c r="AC34" i="14"/>
  <c r="AD34" i="14"/>
  <c r="AF34" i="14"/>
  <c r="AB24" i="14"/>
  <c r="AK24" i="14" s="1"/>
  <c r="AC24" i="14"/>
  <c r="AD24" i="14"/>
  <c r="AF24" i="14"/>
  <c r="AB22" i="14"/>
  <c r="AC22" i="14"/>
  <c r="AD22" i="14"/>
  <c r="AF22" i="14"/>
  <c r="AB21" i="14"/>
  <c r="AK21" i="14" s="1"/>
  <c r="AC21" i="14"/>
  <c r="AD21" i="14"/>
  <c r="AF21" i="14"/>
  <c r="C45" i="14"/>
  <c r="AA36" i="14"/>
  <c r="AA38" i="14"/>
  <c r="Z36" i="14"/>
  <c r="Z38" i="14" s="1"/>
  <c r="Y36" i="14"/>
  <c r="Y38" i="14" s="1"/>
  <c r="BJ22" i="14" s="1"/>
  <c r="X36" i="14"/>
  <c r="X38" i="14" s="1"/>
  <c r="W36" i="14"/>
  <c r="W38" i="14" s="1"/>
  <c r="BH25" i="14" s="1"/>
  <c r="V36" i="14"/>
  <c r="V38" i="14"/>
  <c r="U36" i="14"/>
  <c r="U38" i="14"/>
  <c r="BF10" i="14" s="1"/>
  <c r="BF26" i="14"/>
  <c r="T36" i="14"/>
  <c r="T38" i="14"/>
  <c r="S36" i="14"/>
  <c r="S38" i="14"/>
  <c r="BD20" i="14"/>
  <c r="R36" i="14"/>
  <c r="R38" i="14"/>
  <c r="BC13" i="14" s="1"/>
  <c r="Q36" i="14"/>
  <c r="Q38" i="14"/>
  <c r="P36" i="14"/>
  <c r="P38" i="14"/>
  <c r="BA23" i="14" s="1"/>
  <c r="BA10" i="14"/>
  <c r="O36" i="14"/>
  <c r="O38" i="14"/>
  <c r="AZ14" i="14" s="1"/>
  <c r="M36" i="14"/>
  <c r="M38" i="14"/>
  <c r="AX29" i="14" s="1"/>
  <c r="L36" i="14"/>
  <c r="L38" i="14"/>
  <c r="AW35" i="14" s="1"/>
  <c r="AW27" i="14"/>
  <c r="K36" i="14"/>
  <c r="K38" i="14" s="1"/>
  <c r="J36" i="14"/>
  <c r="J38" i="14"/>
  <c r="AU17" i="14" s="1"/>
  <c r="I36" i="14"/>
  <c r="I38" i="14"/>
  <c r="H36" i="14"/>
  <c r="H38" i="14"/>
  <c r="AS26" i="14" s="1"/>
  <c r="G36" i="14"/>
  <c r="G38" i="14"/>
  <c r="AR13" i="14" s="1"/>
  <c r="AR34" i="14"/>
  <c r="F36" i="14"/>
  <c r="F38" i="14"/>
  <c r="E36" i="14"/>
  <c r="E38" i="14"/>
  <c r="AP35" i="14" s="1"/>
  <c r="AP11" i="14"/>
  <c r="D36" i="14"/>
  <c r="AC36" i="14" s="1"/>
  <c r="C36" i="14"/>
  <c r="C38" i="14" s="1"/>
  <c r="AF7" i="14"/>
  <c r="AK7" i="14" s="1"/>
  <c r="AD7" i="14"/>
  <c r="AC7" i="14"/>
  <c r="AB7" i="14"/>
  <c r="AF35" i="14"/>
  <c r="AD35" i="14"/>
  <c r="AC35" i="14"/>
  <c r="AB35" i="14"/>
  <c r="AK35" i="14" s="1"/>
  <c r="AF33" i="14"/>
  <c r="AD33" i="14"/>
  <c r="AC33" i="14"/>
  <c r="AB33" i="14"/>
  <c r="AK33" i="14" s="1"/>
  <c r="AF31" i="14"/>
  <c r="AD31" i="14"/>
  <c r="AC31" i="14"/>
  <c r="AB31" i="14"/>
  <c r="AF28" i="14"/>
  <c r="AD28" i="14"/>
  <c r="AC28" i="14"/>
  <c r="AB28" i="14"/>
  <c r="AK28" i="14" s="1"/>
  <c r="AF29" i="14"/>
  <c r="AD29" i="14"/>
  <c r="AC29" i="14"/>
  <c r="AB29" i="14"/>
  <c r="AF23" i="14"/>
  <c r="AD23" i="14"/>
  <c r="AC23" i="14"/>
  <c r="AB23" i="14"/>
  <c r="AK23" i="14" s="1"/>
  <c r="AF18" i="14"/>
  <c r="AD18" i="14"/>
  <c r="AC18" i="14"/>
  <c r="AB18" i="14"/>
  <c r="AK18" i="14" s="1"/>
  <c r="AF15" i="14"/>
  <c r="AD15" i="14"/>
  <c r="AC15" i="14"/>
  <c r="AB15" i="14"/>
  <c r="AF20" i="14"/>
  <c r="AD20" i="14"/>
  <c r="AC20" i="14"/>
  <c r="AB20" i="14"/>
  <c r="AK20" i="14" s="1"/>
  <c r="AF26" i="14"/>
  <c r="AD26" i="14"/>
  <c r="AC26" i="14"/>
  <c r="AB26" i="14"/>
  <c r="AK26" i="14" s="1"/>
  <c r="AF13" i="14"/>
  <c r="AD13" i="14"/>
  <c r="AC13" i="14"/>
  <c r="AB13" i="14"/>
  <c r="AK13" i="14" s="1"/>
  <c r="AF11" i="14"/>
  <c r="AD11" i="14"/>
  <c r="AC11" i="14"/>
  <c r="AB11" i="14"/>
  <c r="AF8" i="14"/>
  <c r="AD8" i="14"/>
  <c r="AC8" i="14"/>
  <c r="AB8" i="14"/>
  <c r="AF9" i="14"/>
  <c r="AD9" i="14"/>
  <c r="AC9" i="14"/>
  <c r="AB9" i="14"/>
  <c r="AK9" i="14" s="1"/>
  <c r="AF17" i="14"/>
  <c r="AD17" i="14"/>
  <c r="AC17" i="14"/>
  <c r="AB17" i="14"/>
  <c r="AK17" i="14" s="1"/>
  <c r="AF12" i="14"/>
  <c r="AD12" i="14"/>
  <c r="AC12" i="14"/>
  <c r="AB12" i="14"/>
  <c r="AF16" i="14"/>
  <c r="AD16" i="14"/>
  <c r="AC16" i="14"/>
  <c r="AB16" i="14"/>
  <c r="AF10" i="14"/>
  <c r="AD10" i="14"/>
  <c r="AC10" i="14"/>
  <c r="AB10" i="14"/>
  <c r="AK10" i="14" s="1"/>
  <c r="AF14" i="14"/>
  <c r="AD14" i="14"/>
  <c r="AC14" i="14"/>
  <c r="AB14" i="14"/>
  <c r="AF32" i="14"/>
  <c r="AK32" i="14" s="1"/>
  <c r="AD32" i="14"/>
  <c r="AC32" i="14"/>
  <c r="AB32" i="14"/>
  <c r="F31" i="6"/>
  <c r="AB24" i="2"/>
  <c r="AB10" i="5"/>
  <c r="AB12" i="5"/>
  <c r="AB16" i="5"/>
  <c r="AB21" i="5"/>
  <c r="AB11" i="5"/>
  <c r="AB4" i="5"/>
  <c r="AB19" i="5"/>
  <c r="AB9" i="5"/>
  <c r="AB7" i="5"/>
  <c r="AB18" i="5"/>
  <c r="AB6" i="5"/>
  <c r="AB22" i="5"/>
  <c r="AB14" i="5"/>
  <c r="AB23" i="5"/>
  <c r="AB24" i="5"/>
  <c r="AB13" i="5"/>
  <c r="AB17" i="5"/>
  <c r="AB8" i="5"/>
  <c r="AB20" i="5"/>
  <c r="E7" i="9"/>
  <c r="M7" i="9"/>
  <c r="AB11" i="2"/>
  <c r="AB6" i="2"/>
  <c r="AB9" i="2"/>
  <c r="AB7" i="2"/>
  <c r="AB10" i="2"/>
  <c r="AB16" i="2"/>
  <c r="AB15" i="2"/>
  <c r="AB4" i="2"/>
  <c r="AB13" i="2"/>
  <c r="AB18" i="2"/>
  <c r="AB14" i="2"/>
  <c r="AB19" i="2"/>
  <c r="AB12" i="2"/>
  <c r="AB5" i="2"/>
  <c r="AB23" i="2"/>
  <c r="AA37" i="11"/>
  <c r="AA39" i="11" s="1"/>
  <c r="BL27" i="11" s="1"/>
  <c r="AF29" i="11"/>
  <c r="AK29" i="11" s="1"/>
  <c r="AF7" i="11"/>
  <c r="AF19" i="11"/>
  <c r="AF8" i="11"/>
  <c r="AF9" i="11"/>
  <c r="AF11" i="11"/>
  <c r="AF12" i="11"/>
  <c r="AF21" i="11"/>
  <c r="AF13" i="11"/>
  <c r="AK13" i="11" s="1"/>
  <c r="AF26" i="11"/>
  <c r="AK26" i="11" s="1"/>
  <c r="AF27" i="11"/>
  <c r="AK27" i="11" s="1"/>
  <c r="AF14" i="11"/>
  <c r="AK14" i="11" s="1"/>
  <c r="AF22" i="11"/>
  <c r="AF20" i="11"/>
  <c r="AF15" i="11"/>
  <c r="AF16" i="11"/>
  <c r="AF17" i="11"/>
  <c r="AF23" i="11"/>
  <c r="AF18" i="11"/>
  <c r="AF31" i="11"/>
  <c r="AF25" i="11"/>
  <c r="AF24" i="11"/>
  <c r="AF30" i="11"/>
  <c r="AF35" i="11"/>
  <c r="AF36" i="11"/>
  <c r="AF32" i="11"/>
  <c r="AF33" i="11"/>
  <c r="AK33" i="11" s="1"/>
  <c r="AF34" i="11"/>
  <c r="AK34" i="11" s="1"/>
  <c r="AF10" i="11"/>
  <c r="AK10" i="11" s="1"/>
  <c r="AF28" i="11"/>
  <c r="AK28" i="11" s="1"/>
  <c r="AD29" i="11"/>
  <c r="AD7" i="11"/>
  <c r="AD19" i="11"/>
  <c r="AD8" i="11"/>
  <c r="AD9" i="11"/>
  <c r="AD11" i="11"/>
  <c r="AD12" i="11"/>
  <c r="AD21" i="11"/>
  <c r="AD13" i="11"/>
  <c r="AD26" i="11"/>
  <c r="AD27" i="11"/>
  <c r="AD14" i="11"/>
  <c r="AD22" i="11"/>
  <c r="AD20" i="11"/>
  <c r="AD15" i="11"/>
  <c r="AD16" i="11"/>
  <c r="AD17" i="11"/>
  <c r="AD23" i="11"/>
  <c r="AD18" i="11"/>
  <c r="AD31" i="11"/>
  <c r="AD25" i="11"/>
  <c r="AD24" i="11"/>
  <c r="AD30" i="11"/>
  <c r="AD35" i="11"/>
  <c r="AD36" i="11"/>
  <c r="AD32" i="11"/>
  <c r="AD33" i="11"/>
  <c r="AD34" i="11"/>
  <c r="AD10" i="11"/>
  <c r="AD28" i="11"/>
  <c r="AC29" i="11"/>
  <c r="AC7" i="11"/>
  <c r="AC19" i="11"/>
  <c r="AC8" i="11"/>
  <c r="AC9" i="11"/>
  <c r="AC11" i="11"/>
  <c r="AC12" i="11"/>
  <c r="AC21" i="11"/>
  <c r="AC13" i="11"/>
  <c r="AC26" i="11"/>
  <c r="AC27" i="11"/>
  <c r="AC14" i="11"/>
  <c r="AC22" i="11"/>
  <c r="AC20" i="11"/>
  <c r="AC15" i="11"/>
  <c r="AC16" i="11"/>
  <c r="AC17" i="11"/>
  <c r="AC23" i="11"/>
  <c r="AC18" i="11"/>
  <c r="AC31" i="11"/>
  <c r="AC25" i="11"/>
  <c r="AC24" i="11"/>
  <c r="AC30" i="11"/>
  <c r="AC35" i="11"/>
  <c r="AC36" i="11"/>
  <c r="AC32" i="11"/>
  <c r="AC33" i="11"/>
  <c r="AC34" i="11"/>
  <c r="AC10" i="11"/>
  <c r="AC28" i="11"/>
  <c r="AB29" i="11"/>
  <c r="AB7" i="11"/>
  <c r="AB19" i="11"/>
  <c r="AK19" i="11"/>
  <c r="AB8" i="11"/>
  <c r="AK8" i="11"/>
  <c r="AB9" i="11"/>
  <c r="AK9" i="11" s="1"/>
  <c r="AB11" i="11"/>
  <c r="AB12" i="11"/>
  <c r="AB21" i="11"/>
  <c r="AB13" i="11"/>
  <c r="AB26" i="11"/>
  <c r="AB27" i="11"/>
  <c r="AB14" i="11"/>
  <c r="AB22" i="11"/>
  <c r="AK22" i="11"/>
  <c r="AB20" i="11"/>
  <c r="AB15" i="11"/>
  <c r="AB16" i="11"/>
  <c r="AB17" i="11"/>
  <c r="AB23" i="11"/>
  <c r="AB18" i="11"/>
  <c r="AK18" i="11"/>
  <c r="AB31" i="11"/>
  <c r="AK31" i="11"/>
  <c r="AB25" i="11"/>
  <c r="AK25" i="11"/>
  <c r="AB24" i="11"/>
  <c r="AK24" i="11"/>
  <c r="AB30" i="11"/>
  <c r="AK30" i="11" s="1"/>
  <c r="AB35" i="11"/>
  <c r="AK35" i="11"/>
  <c r="AB36" i="11"/>
  <c r="AB32" i="11"/>
  <c r="AB33" i="11"/>
  <c r="AB34" i="11"/>
  <c r="AB10" i="11"/>
  <c r="AB28" i="11"/>
  <c r="Y37" i="11"/>
  <c r="Y39" i="11" s="1"/>
  <c r="Z37" i="11"/>
  <c r="Z39" i="11"/>
  <c r="BK12" i="11" s="1"/>
  <c r="BK15" i="11"/>
  <c r="BK25" i="11"/>
  <c r="BK10" i="11"/>
  <c r="BK21" i="11"/>
  <c r="BK27" i="11"/>
  <c r="BK35" i="11"/>
  <c r="P37" i="11"/>
  <c r="P39" i="11" s="1"/>
  <c r="BA33" i="11" s="1"/>
  <c r="M19" i="3"/>
  <c r="M7" i="3"/>
  <c r="V37" i="11"/>
  <c r="V39" i="11"/>
  <c r="BG7" i="11" s="1"/>
  <c r="W37" i="11"/>
  <c r="W39" i="11" s="1"/>
  <c r="X37" i="11"/>
  <c r="X39" i="11"/>
  <c r="BI29" i="11" s="1"/>
  <c r="C41" i="13"/>
  <c r="Z34" i="13"/>
  <c r="Z33" i="13"/>
  <c r="Z32" i="13"/>
  <c r="V32" i="13"/>
  <c r="V34" i="13"/>
  <c r="BB16" i="13" s="1"/>
  <c r="U32" i="13"/>
  <c r="U34" i="13"/>
  <c r="BA27" i="13" s="1"/>
  <c r="T32" i="13"/>
  <c r="T34" i="13" s="1"/>
  <c r="AZ27" i="13" s="1"/>
  <c r="S32" i="13"/>
  <c r="S34" i="13" s="1"/>
  <c r="AY9" i="13" s="1"/>
  <c r="R32" i="13"/>
  <c r="R34" i="13"/>
  <c r="AX14" i="13" s="1"/>
  <c r="Q32" i="13"/>
  <c r="Q34" i="13"/>
  <c r="AW18" i="13" s="1"/>
  <c r="P32" i="13"/>
  <c r="P34" i="13"/>
  <c r="AV16" i="13" s="1"/>
  <c r="O32" i="13"/>
  <c r="O34" i="13" s="1"/>
  <c r="N32" i="13"/>
  <c r="N34" i="13"/>
  <c r="AT16" i="13" s="1"/>
  <c r="M32" i="13"/>
  <c r="M34" i="13"/>
  <c r="AS27" i="13" s="1"/>
  <c r="L32" i="13"/>
  <c r="L34" i="13" s="1"/>
  <c r="AR16" i="13" s="1"/>
  <c r="K32" i="13"/>
  <c r="K34" i="13" s="1"/>
  <c r="AQ14" i="13" s="1"/>
  <c r="J32" i="13"/>
  <c r="J34" i="13"/>
  <c r="AP14" i="13" s="1"/>
  <c r="I32" i="13"/>
  <c r="I34" i="13"/>
  <c r="AO18" i="13" s="1"/>
  <c r="H32" i="13"/>
  <c r="H34" i="13"/>
  <c r="AN16" i="13" s="1"/>
  <c r="G32" i="13"/>
  <c r="G34" i="13" s="1"/>
  <c r="AM27" i="13" s="1"/>
  <c r="F32" i="13"/>
  <c r="F34" i="13" s="1"/>
  <c r="E32" i="13"/>
  <c r="E34" i="13"/>
  <c r="AK23" i="13" s="1"/>
  <c r="D32" i="13"/>
  <c r="C32" i="13"/>
  <c r="C34" i="13" s="1"/>
  <c r="AI22" i="13" s="1"/>
  <c r="AA31" i="13"/>
  <c r="Y31" i="13"/>
  <c r="X31" i="13"/>
  <c r="W31" i="13"/>
  <c r="BI9" i="11"/>
  <c r="BI30" i="11"/>
  <c r="BI12" i="11"/>
  <c r="AT31" i="13"/>
  <c r="C41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Z31" i="10" s="1"/>
  <c r="W30" i="10"/>
  <c r="AE30" i="10" s="1"/>
  <c r="Z30" i="10"/>
  <c r="W29" i="10"/>
  <c r="Z29" i="10" s="1"/>
  <c r="W28" i="10"/>
  <c r="AE28" i="10" s="1"/>
  <c r="W27" i="10"/>
  <c r="AE27" i="10" s="1"/>
  <c r="W26" i="10"/>
  <c r="Z26" i="10" s="1"/>
  <c r="W25" i="10"/>
  <c r="AE25" i="10" s="1"/>
  <c r="W24" i="10"/>
  <c r="AE24" i="10" s="1"/>
  <c r="W23" i="10"/>
  <c r="AE23" i="10" s="1"/>
  <c r="W22" i="10"/>
  <c r="AE22" i="10" s="1"/>
  <c r="W21" i="10"/>
  <c r="Z21" i="10" s="1"/>
  <c r="W20" i="10"/>
  <c r="AE20" i="10" s="1"/>
  <c r="Z20" i="10"/>
  <c r="W19" i="10"/>
  <c r="AE19" i="10" s="1"/>
  <c r="W18" i="10"/>
  <c r="Z18" i="10" s="1"/>
  <c r="W17" i="10"/>
  <c r="Z17" i="10" s="1"/>
  <c r="W16" i="10"/>
  <c r="AE16" i="10" s="1"/>
  <c r="W15" i="10"/>
  <c r="Z15" i="10" s="1"/>
  <c r="W14" i="10"/>
  <c r="AE14" i="10" s="1"/>
  <c r="W13" i="10"/>
  <c r="Z13" i="10" s="1"/>
  <c r="W12" i="10"/>
  <c r="AE12" i="10" s="1"/>
  <c r="W11" i="10"/>
  <c r="AE11" i="10" s="1"/>
  <c r="W10" i="10"/>
  <c r="Z10" i="10" s="1"/>
  <c r="W9" i="10"/>
  <c r="AE9" i="10" s="1"/>
  <c r="W8" i="10"/>
  <c r="AE8" i="10" s="1"/>
  <c r="W7" i="10"/>
  <c r="Z7" i="10" s="1"/>
  <c r="W6" i="10"/>
  <c r="Z6" i="10" s="1"/>
  <c r="W49" i="1"/>
  <c r="W48" i="1"/>
  <c r="C40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D31" i="6"/>
  <c r="C31" i="6"/>
  <c r="M10" i="3"/>
  <c r="M11" i="3"/>
  <c r="M4" i="3"/>
  <c r="M12" i="3"/>
  <c r="M3" i="3"/>
  <c r="M6" i="3"/>
  <c r="M18" i="3"/>
  <c r="M2" i="3"/>
  <c r="M8" i="3"/>
  <c r="M13" i="3"/>
  <c r="M9" i="3"/>
  <c r="M5" i="3"/>
  <c r="C46" i="11"/>
  <c r="U37" i="11"/>
  <c r="U39" i="11"/>
  <c r="BF15" i="11" s="1"/>
  <c r="T37" i="11"/>
  <c r="T39" i="11"/>
  <c r="BE20" i="11" s="1"/>
  <c r="S37" i="11"/>
  <c r="S39" i="11" s="1"/>
  <c r="R37" i="11"/>
  <c r="R39" i="11" s="1"/>
  <c r="BC13" i="11" s="1"/>
  <c r="Q37" i="11"/>
  <c r="Q39" i="11"/>
  <c r="BB11" i="11" s="1"/>
  <c r="O37" i="11"/>
  <c r="O39" i="11" s="1"/>
  <c r="AZ10" i="11" s="1"/>
  <c r="N37" i="11"/>
  <c r="N39" i="11" s="1"/>
  <c r="AY7" i="11" s="1"/>
  <c r="M37" i="11"/>
  <c r="M39" i="11"/>
  <c r="AX19" i="11" s="1"/>
  <c r="L37" i="11"/>
  <c r="L39" i="11"/>
  <c r="K37" i="11"/>
  <c r="K39" i="11"/>
  <c r="AV35" i="11" s="1"/>
  <c r="J37" i="11"/>
  <c r="J39" i="11"/>
  <c r="AU17" i="11" s="1"/>
  <c r="I37" i="11"/>
  <c r="I39" i="11" s="1"/>
  <c r="H37" i="11"/>
  <c r="H39" i="11" s="1"/>
  <c r="G37" i="11"/>
  <c r="G39" i="11"/>
  <c r="AR18" i="11" s="1"/>
  <c r="F37" i="11"/>
  <c r="F39" i="11" s="1"/>
  <c r="AQ28" i="11" s="1"/>
  <c r="E37" i="11"/>
  <c r="E39" i="11"/>
  <c r="AP18" i="11" s="1"/>
  <c r="AP28" i="11"/>
  <c r="D37" i="11"/>
  <c r="C37" i="11"/>
  <c r="C39" i="11" s="1"/>
  <c r="AN30" i="11" s="1"/>
  <c r="AP9" i="11"/>
  <c r="AP20" i="11"/>
  <c r="AP7" i="11"/>
  <c r="AP13" i="11"/>
  <c r="BC12" i="11"/>
  <c r="BC16" i="11"/>
  <c r="AQ11" i="11"/>
  <c r="AQ13" i="11"/>
  <c r="AQ19" i="11"/>
  <c r="AQ20" i="11"/>
  <c r="AQ25" i="11"/>
  <c r="AQ24" i="11"/>
  <c r="AU25" i="11"/>
  <c r="AU24" i="11"/>
  <c r="AY28" i="11"/>
  <c r="AR24" i="11"/>
  <c r="AZ17" i="11"/>
  <c r="AZ31" i="11"/>
  <c r="BE19" i="11"/>
  <c r="AX13" i="11"/>
  <c r="AX12" i="11"/>
  <c r="AX16" i="11"/>
  <c r="AX8" i="11"/>
  <c r="AX31" i="11"/>
  <c r="AX29" i="11"/>
  <c r="AX20" i="11"/>
  <c r="AX27" i="11"/>
  <c r="BB16" i="11"/>
  <c r="BB21" i="11"/>
  <c r="BB26" i="11"/>
  <c r="BB20" i="11"/>
  <c r="BB22" i="11"/>
  <c r="BB8" i="11"/>
  <c r="BF9" i="11"/>
  <c r="BF7" i="11"/>
  <c r="BF14" i="11"/>
  <c r="AQ34" i="11"/>
  <c r="AX33" i="11"/>
  <c r="BE32" i="11"/>
  <c r="AQ32" i="11"/>
  <c r="AQ35" i="11"/>
  <c r="AQ36" i="11"/>
  <c r="AY36" i="11"/>
  <c r="AV10" i="11"/>
  <c r="BH14" i="11"/>
  <c r="BH15" i="11"/>
  <c r="BH11" i="11"/>
  <c r="AP15" i="11"/>
  <c r="AQ29" i="11"/>
  <c r="AQ9" i="11"/>
  <c r="AQ30" i="11"/>
  <c r="AQ27" i="11"/>
  <c r="AU9" i="11"/>
  <c r="AU23" i="11"/>
  <c r="BG16" i="11"/>
  <c r="BG12" i="11"/>
  <c r="BK14" i="11"/>
  <c r="BK24" i="11"/>
  <c r="BK19" i="11"/>
  <c r="BK9" i="11"/>
  <c r="BK26" i="11"/>
  <c r="BK30" i="11"/>
  <c r="BK29" i="11"/>
  <c r="BJ11" i="11"/>
  <c r="BJ31" i="11"/>
  <c r="BJ9" i="11"/>
  <c r="BJ30" i="11"/>
  <c r="BJ14" i="11"/>
  <c r="BJ24" i="11"/>
  <c r="BJ13" i="11"/>
  <c r="AP14" i="11"/>
  <c r="AP29" i="11"/>
  <c r="AP17" i="11"/>
  <c r="BI8" i="11"/>
  <c r="BI22" i="11"/>
  <c r="BI34" i="11"/>
  <c r="BI15" i="11"/>
  <c r="BI33" i="11"/>
  <c r="BI7" i="11"/>
  <c r="BI25" i="11"/>
  <c r="BI26" i="11"/>
  <c r="BI19" i="11"/>
  <c r="BI36" i="11"/>
  <c r="BJ35" i="11"/>
  <c r="AP8" i="14"/>
  <c r="AX35" i="14"/>
  <c r="AX22" i="14"/>
  <c r="AE35" i="17"/>
  <c r="AE29" i="17"/>
  <c r="C38" i="17"/>
  <c r="M31" i="6"/>
  <c r="AK34" i="14"/>
  <c r="AR11" i="14"/>
  <c r="BD9" i="14"/>
  <c r="AR14" i="14"/>
  <c r="AR21" i="14"/>
  <c r="AQ31" i="14"/>
  <c r="AT18" i="14"/>
  <c r="AT10" i="14"/>
  <c r="AT32" i="14"/>
  <c r="AR9" i="14"/>
  <c r="AR18" i="14"/>
  <c r="BG8" i="14"/>
  <c r="BG30" i="14"/>
  <c r="BG35" i="14"/>
  <c r="BL9" i="14"/>
  <c r="AK29" i="14"/>
  <c r="BF30" i="14"/>
  <c r="BF24" i="14"/>
  <c r="AT24" i="14"/>
  <c r="BF18" i="14"/>
  <c r="BF28" i="14"/>
  <c r="AS15" i="14"/>
  <c r="BG15" i="14"/>
  <c r="BG16" i="14"/>
  <c r="BG9" i="14"/>
  <c r="BG13" i="14"/>
  <c r="BG12" i="14"/>
  <c r="BG31" i="14"/>
  <c r="BG29" i="14"/>
  <c r="BG34" i="14"/>
  <c r="BG21" i="14"/>
  <c r="BL22" i="14"/>
  <c r="AS16" i="14"/>
  <c r="AS13" i="14"/>
  <c r="BD21" i="14"/>
  <c r="BD17" i="14"/>
  <c r="BD35" i="14"/>
  <c r="AY29" i="14"/>
  <c r="AY9" i="14"/>
  <c r="AY11" i="14"/>
  <c r="AQ24" i="14"/>
  <c r="AQ23" i="14"/>
  <c r="AQ28" i="14"/>
  <c r="AQ32" i="14"/>
  <c r="AQ21" i="14"/>
  <c r="AQ35" i="14"/>
  <c r="AQ30" i="14"/>
  <c r="AQ34" i="14"/>
  <c r="AQ33" i="14"/>
  <c r="AZ8" i="14"/>
  <c r="AZ17" i="14"/>
  <c r="AZ31" i="14"/>
  <c r="AZ11" i="14"/>
  <c r="AZ27" i="14"/>
  <c r="AZ29" i="14"/>
  <c r="AZ26" i="14"/>
  <c r="BH16" i="14"/>
  <c r="BH15" i="14"/>
  <c r="AZ7" i="14"/>
  <c r="BF29" i="14"/>
  <c r="BF31" i="14"/>
  <c r="BF34" i="14"/>
  <c r="BF12" i="14"/>
  <c r="AQ20" i="14"/>
  <c r="AQ16" i="14"/>
  <c r="AQ9" i="14"/>
  <c r="AR29" i="14"/>
  <c r="AR15" i="14"/>
  <c r="AR32" i="14"/>
  <c r="AR10" i="14"/>
  <c r="AW14" i="14"/>
  <c r="AW34" i="14"/>
  <c r="AW19" i="14"/>
  <c r="BB17" i="14"/>
  <c r="BB24" i="14"/>
  <c r="BB25" i="14"/>
  <c r="BB9" i="14"/>
  <c r="AT22" i="14"/>
  <c r="AT13" i="14"/>
  <c r="BL16" i="14"/>
  <c r="BL14" i="14"/>
  <c r="BL11" i="14"/>
  <c r="BF35" i="14"/>
  <c r="AZ32" i="14"/>
  <c r="AT19" i="14"/>
  <c r="AT35" i="14"/>
  <c r="AT21" i="14"/>
  <c r="AT34" i="14"/>
  <c r="AT31" i="14"/>
  <c r="AQ22" i="14"/>
  <c r="AQ18" i="14"/>
  <c r="BL18" i="14"/>
  <c r="AQ25" i="14"/>
  <c r="AZ9" i="14"/>
  <c r="AQ11" i="14"/>
  <c r="AS12" i="14"/>
  <c r="BD10" i="14"/>
  <c r="BD26" i="14"/>
  <c r="BG17" i="14"/>
  <c r="BG22" i="14"/>
  <c r="BG25" i="14"/>
  <c r="BE19" i="14"/>
  <c r="BE32" i="14"/>
  <c r="BE24" i="14"/>
  <c r="BE35" i="14"/>
  <c r="BE27" i="14"/>
  <c r="BE8" i="14"/>
  <c r="BE12" i="14"/>
  <c r="BE22" i="14"/>
  <c r="BE23" i="14"/>
  <c r="BE31" i="14"/>
  <c r="BE33" i="14"/>
  <c r="BE28" i="14"/>
  <c r="BE11" i="14"/>
  <c r="AK16" i="14"/>
  <c r="BC19" i="14"/>
  <c r="BC7" i="14"/>
  <c r="BC18" i="14"/>
  <c r="BC33" i="14"/>
  <c r="BC11" i="14"/>
  <c r="BC17" i="14"/>
  <c r="BC22" i="14"/>
  <c r="AE31" i="17"/>
  <c r="AE33" i="17"/>
  <c r="AE30" i="17"/>
  <c r="AE32" i="17"/>
  <c r="AE24" i="17"/>
  <c r="AG24" i="17" s="1"/>
  <c r="AE27" i="17"/>
  <c r="AE18" i="17"/>
  <c r="AE11" i="17"/>
  <c r="AE8" i="17"/>
  <c r="AE12" i="17"/>
  <c r="AE20" i="17"/>
  <c r="AE9" i="17"/>
  <c r="AE34" i="17"/>
  <c r="AE16" i="17"/>
  <c r="AE17" i="17"/>
  <c r="AE13" i="17"/>
  <c r="AE25" i="17"/>
  <c r="AE23" i="17"/>
  <c r="AG23" i="17" s="1"/>
  <c r="AE10" i="17"/>
  <c r="AE14" i="17"/>
  <c r="AE22" i="17"/>
  <c r="AE19" i="17"/>
  <c r="AE7" i="17"/>
  <c r="AE15" i="17"/>
  <c r="AE21" i="17"/>
  <c r="AE28" i="17"/>
  <c r="AE26" i="17"/>
  <c r="AB26" i="2"/>
  <c r="AO34" i="18"/>
  <c r="AS35" i="18"/>
  <c r="AK35" i="18"/>
  <c r="AO39" i="18"/>
  <c r="AO29" i="18"/>
  <c r="AQ38" i="18"/>
  <c r="AQ39" i="18"/>
  <c r="AS38" i="18"/>
  <c r="AS29" i="18"/>
  <c r="AS30" i="18"/>
  <c r="AS31" i="18"/>
  <c r="AS32" i="18"/>
  <c r="AX27" i="18"/>
  <c r="AX28" i="18"/>
  <c r="BA30" i="18"/>
  <c r="BA31" i="18"/>
  <c r="BA32" i="18"/>
  <c r="AK38" i="18"/>
  <c r="AN13" i="17"/>
  <c r="AN14" i="17"/>
  <c r="AN15" i="17"/>
  <c r="AN19" i="17"/>
  <c r="AN20" i="17"/>
  <c r="AN21" i="17"/>
  <c r="AG32" i="17"/>
  <c r="AG34" i="17"/>
  <c r="AO13" i="17"/>
  <c r="AO14" i="17"/>
  <c r="AO22" i="17"/>
  <c r="AO23" i="17"/>
  <c r="AO24" i="17"/>
  <c r="AO25" i="17"/>
  <c r="AO26" i="17"/>
  <c r="AO27" i="17"/>
  <c r="AO28" i="17"/>
  <c r="AO29" i="17"/>
  <c r="AO30" i="17"/>
  <c r="AQ9" i="17"/>
  <c r="AQ10" i="17"/>
  <c r="AQ11" i="17"/>
  <c r="AQ28" i="17"/>
  <c r="AQ29" i="17"/>
  <c r="AQ30" i="17"/>
  <c r="AQ31" i="17"/>
  <c r="AQ32" i="17"/>
  <c r="AS13" i="17"/>
  <c r="AW9" i="17"/>
  <c r="AW10" i="17"/>
  <c r="AW11" i="17"/>
  <c r="AW12" i="17"/>
  <c r="AW13" i="17"/>
  <c r="AW17" i="17"/>
  <c r="AW18" i="17"/>
  <c r="AW19" i="17"/>
  <c r="AW20" i="17"/>
  <c r="AW21" i="17"/>
  <c r="AW28" i="17"/>
  <c r="AW29" i="17"/>
  <c r="AW33" i="17"/>
  <c r="AW34" i="17"/>
  <c r="AW35" i="17"/>
  <c r="AW7" i="17"/>
  <c r="AX20" i="17"/>
  <c r="AX21" i="17"/>
  <c r="AX22" i="17"/>
  <c r="AX23" i="17"/>
  <c r="AX24" i="17"/>
  <c r="AX25" i="17"/>
  <c r="AZ13" i="17"/>
  <c r="AZ14" i="17"/>
  <c r="AZ15" i="17"/>
  <c r="AZ16" i="17"/>
  <c r="AZ17" i="17"/>
  <c r="AZ28" i="17"/>
  <c r="AZ32" i="17"/>
  <c r="AZ33" i="17"/>
  <c r="AZ34" i="17"/>
  <c r="AZ35" i="17"/>
  <c r="AZ7" i="17"/>
  <c r="BF7" i="17"/>
  <c r="BF9" i="17"/>
  <c r="BF17" i="17"/>
  <c r="BF35" i="17"/>
  <c r="BA14" i="17"/>
  <c r="BA15" i="17"/>
  <c r="BA16" i="17"/>
  <c r="BB8" i="17"/>
  <c r="BB9" i="17"/>
  <c r="BB10" i="17"/>
  <c r="BB11" i="17"/>
  <c r="BB12" i="17"/>
  <c r="BB28" i="17"/>
  <c r="BB29" i="17"/>
  <c r="BB33" i="17"/>
  <c r="BB34" i="17"/>
  <c r="BB7" i="17"/>
  <c r="BD8" i="17"/>
  <c r="BD9" i="17"/>
  <c r="BD10" i="17"/>
  <c r="BD11" i="17"/>
  <c r="BD12" i="17"/>
  <c r="BD13" i="17"/>
  <c r="BD14" i="17"/>
  <c r="BD15" i="17"/>
  <c r="BD16" i="17"/>
  <c r="BD17" i="17"/>
  <c r="BD18" i="17"/>
  <c r="BD19" i="17"/>
  <c r="BD23" i="17"/>
  <c r="BD24" i="17"/>
  <c r="BD25" i="17"/>
  <c r="BD26" i="17"/>
  <c r="BD27" i="17"/>
  <c r="BD28" i="17"/>
  <c r="BD29" i="17"/>
  <c r="BD30" i="17"/>
  <c r="BD31" i="17"/>
  <c r="BD32" i="17"/>
  <c r="BD33" i="17"/>
  <c r="BD34" i="17"/>
  <c r="BD35" i="17"/>
  <c r="BE30" i="17"/>
  <c r="BE31" i="17"/>
  <c r="BE32" i="17"/>
  <c r="BE33" i="17"/>
  <c r="BE34" i="17"/>
  <c r="BL9" i="17"/>
  <c r="BJ14" i="17"/>
  <c r="BJ15" i="17"/>
  <c r="BH34" i="17"/>
  <c r="BH35" i="17"/>
  <c r="BH7" i="17"/>
  <c r="AG28" i="17"/>
  <c r="AG31" i="17"/>
  <c r="AG29" i="17"/>
  <c r="AK29" i="17"/>
  <c r="BF20" i="17"/>
  <c r="BF18" i="17"/>
  <c r="BF10" i="17"/>
  <c r="BF8" i="17"/>
  <c r="BG13" i="17"/>
  <c r="BG29" i="17"/>
  <c r="BG22" i="17"/>
  <c r="BG15" i="17"/>
  <c r="BG31" i="17"/>
  <c r="BG8" i="17"/>
  <c r="BG9" i="17"/>
  <c r="BG25" i="17"/>
  <c r="BG18" i="17"/>
  <c r="BG34" i="17"/>
  <c r="BG11" i="17"/>
  <c r="AK23" i="17"/>
  <c r="AK12" i="13"/>
  <c r="AP11" i="13"/>
  <c r="AS11" i="13"/>
  <c r="AS12" i="13"/>
  <c r="AT11" i="13"/>
  <c r="AT12" i="13"/>
  <c r="BA12" i="13"/>
  <c r="BB11" i="13"/>
  <c r="BB12" i="13"/>
  <c r="AK9" i="13"/>
  <c r="AK18" i="13"/>
  <c r="AK21" i="13"/>
  <c r="AK22" i="13"/>
  <c r="AK10" i="13"/>
  <c r="AK24" i="13"/>
  <c r="AK25" i="13"/>
  <c r="AO27" i="13"/>
  <c r="AO28" i="13"/>
  <c r="AO7" i="13"/>
  <c r="AO8" i="13"/>
  <c r="AO14" i="13"/>
  <c r="AP19" i="13"/>
  <c r="AP13" i="13"/>
  <c r="AP27" i="13"/>
  <c r="AP28" i="13"/>
  <c r="AP7" i="13"/>
  <c r="AP8" i="13"/>
  <c r="AP20" i="13"/>
  <c r="AP30" i="13"/>
  <c r="AP26" i="13"/>
  <c r="AQ16" i="13"/>
  <c r="AQ17" i="13"/>
  <c r="AQ20" i="13"/>
  <c r="AQ9" i="13"/>
  <c r="AQ18" i="13"/>
  <c r="AR17" i="13"/>
  <c r="AR24" i="13"/>
  <c r="AR25" i="13"/>
  <c r="AR23" i="13"/>
  <c r="AR29" i="13"/>
  <c r="AR30" i="13"/>
  <c r="AR26" i="13"/>
  <c r="AS19" i="13"/>
  <c r="AS18" i="13"/>
  <c r="AS21" i="13"/>
  <c r="AS29" i="13"/>
  <c r="AT7" i="13"/>
  <c r="AT8" i="13"/>
  <c r="AT14" i="13"/>
  <c r="AT20" i="13"/>
  <c r="AT9" i="13"/>
  <c r="AT18" i="13"/>
  <c r="AT21" i="13"/>
  <c r="AT30" i="13"/>
  <c r="AT26" i="13"/>
  <c r="AW27" i="13"/>
  <c r="AX19" i="13"/>
  <c r="AX13" i="13"/>
  <c r="AX27" i="13"/>
  <c r="AX23" i="13"/>
  <c r="AX29" i="13"/>
  <c r="AX30" i="13"/>
  <c r="AX26" i="13"/>
  <c r="AY20" i="13"/>
  <c r="AZ25" i="13"/>
  <c r="AZ23" i="13"/>
  <c r="AZ29" i="13"/>
  <c r="AZ30" i="13"/>
  <c r="AZ26" i="13"/>
  <c r="BA19" i="13"/>
  <c r="BA22" i="13"/>
  <c r="BA10" i="13"/>
  <c r="BB8" i="13"/>
  <c r="BB14" i="13"/>
  <c r="BB18" i="13"/>
  <c r="BB21" i="13"/>
  <c r="BB30" i="13"/>
  <c r="BB26" i="13"/>
  <c r="AK9" i="19"/>
  <c r="AK34" i="19"/>
  <c r="AN37" i="19"/>
  <c r="AN36" i="19"/>
  <c r="AN35" i="19"/>
  <c r="AN34" i="19"/>
  <c r="AN22" i="19"/>
  <c r="AN23" i="19"/>
  <c r="AN26" i="19"/>
  <c r="AN25" i="19"/>
  <c r="AN19" i="19"/>
  <c r="AN9" i="19"/>
  <c r="AN18" i="19"/>
  <c r="AN14" i="19"/>
  <c r="AN13" i="19"/>
  <c r="AN20" i="19"/>
  <c r="AN21" i="19"/>
  <c r="AK30" i="19" l="1"/>
  <c r="AK13" i="19"/>
  <c r="BH27" i="19"/>
  <c r="BH26" i="19"/>
  <c r="BH33" i="19"/>
  <c r="BH19" i="19"/>
  <c r="AK12" i="19"/>
  <c r="BH34" i="19"/>
  <c r="AZ13" i="19"/>
  <c r="AZ31" i="19"/>
  <c r="AZ8" i="19"/>
  <c r="AZ9" i="19"/>
  <c r="AZ35" i="19"/>
  <c r="AZ7" i="19"/>
  <c r="AZ29" i="19"/>
  <c r="AZ32" i="19"/>
  <c r="AZ21" i="19"/>
  <c r="AZ17" i="19"/>
  <c r="AZ36" i="19"/>
  <c r="AZ10" i="19"/>
  <c r="AZ28" i="19"/>
  <c r="BB12" i="19"/>
  <c r="BB9" i="19"/>
  <c r="BB29" i="19"/>
  <c r="BB17" i="19"/>
  <c r="BB36" i="19"/>
  <c r="BB7" i="19"/>
  <c r="BE32" i="19"/>
  <c r="BC30" i="19"/>
  <c r="BA30" i="19"/>
  <c r="AU7" i="19"/>
  <c r="AP30" i="19"/>
  <c r="AP18" i="19"/>
  <c r="BE30" i="19"/>
  <c r="AW10" i="19"/>
  <c r="AX19" i="19"/>
  <c r="AP29" i="19"/>
  <c r="AK24" i="19"/>
  <c r="AK8" i="19"/>
  <c r="BD30" i="19"/>
  <c r="AU12" i="19"/>
  <c r="AU22" i="19"/>
  <c r="AK14" i="19"/>
  <c r="AX25" i="19"/>
  <c r="AP24" i="19"/>
  <c r="AZ12" i="18"/>
  <c r="AZ35" i="18"/>
  <c r="AZ23" i="18"/>
  <c r="BC36" i="18"/>
  <c r="BC34" i="18"/>
  <c r="BC22" i="18"/>
  <c r="BC38" i="18"/>
  <c r="BC33" i="18"/>
  <c r="BC16" i="18"/>
  <c r="BC30" i="18"/>
  <c r="BC20" i="18"/>
  <c r="BC24" i="18"/>
  <c r="BC21" i="18"/>
  <c r="BC31" i="18"/>
  <c r="BC12" i="18"/>
  <c r="BC32" i="18"/>
  <c r="BC37" i="18"/>
  <c r="BJ31" i="18"/>
  <c r="BJ38" i="18"/>
  <c r="AY23" i="18"/>
  <c r="BG13" i="18"/>
  <c r="AV26" i="18"/>
  <c r="BJ30" i="18"/>
  <c r="BF15" i="18"/>
  <c r="BJ14" i="18"/>
  <c r="BG15" i="18"/>
  <c r="AK20" i="18"/>
  <c r="AK17" i="18"/>
  <c r="AQ25" i="18"/>
  <c r="AK7" i="18"/>
  <c r="AQ10" i="18"/>
  <c r="AU17" i="17"/>
  <c r="AU18" i="17"/>
  <c r="AU19" i="17"/>
  <c r="AU7" i="17"/>
  <c r="AU20" i="17"/>
  <c r="AU15" i="17"/>
  <c r="AU16" i="17"/>
  <c r="AY26" i="17"/>
  <c r="AY14" i="17"/>
  <c r="AY35" i="17"/>
  <c r="AY34" i="17"/>
  <c r="AY12" i="17"/>
  <c r="AY13" i="17"/>
  <c r="AY16" i="17"/>
  <c r="AY24" i="17"/>
  <c r="AY23" i="17"/>
  <c r="AY15" i="17"/>
  <c r="BB23" i="17"/>
  <c r="BB22" i="17"/>
  <c r="BA31" i="17"/>
  <c r="AW27" i="17"/>
  <c r="AW8" i="17"/>
  <c r="AQ17" i="17"/>
  <c r="AP16" i="17"/>
  <c r="AG21" i="17"/>
  <c r="AG26" i="17"/>
  <c r="AQ18" i="17"/>
  <c r="AP17" i="17"/>
  <c r="AQ16" i="17"/>
  <c r="BA8" i="17"/>
  <c r="AQ27" i="17"/>
  <c r="BA30" i="17"/>
  <c r="BA20" i="17"/>
  <c r="AW25" i="17"/>
  <c r="AP14" i="17"/>
  <c r="AG13" i="17"/>
  <c r="AG17" i="17"/>
  <c r="BA10" i="17"/>
  <c r="AP27" i="17"/>
  <c r="AG11" i="17"/>
  <c r="AK27" i="17"/>
  <c r="BA34" i="17"/>
  <c r="BA32" i="17"/>
  <c r="AP15" i="17"/>
  <c r="BB20" i="17"/>
  <c r="AQ15" i="17"/>
  <c r="BB19" i="17"/>
  <c r="BA19" i="17"/>
  <c r="AW24" i="17"/>
  <c r="AQ35" i="17"/>
  <c r="AQ14" i="17"/>
  <c r="AP13" i="17"/>
  <c r="BA9" i="17"/>
  <c r="AP26" i="17"/>
  <c r="BB27" i="17"/>
  <c r="AP25" i="17"/>
  <c r="BB26" i="17"/>
  <c r="BA35" i="17"/>
  <c r="AQ26" i="17"/>
  <c r="AP24" i="17"/>
  <c r="BB24" i="17"/>
  <c r="AP22" i="17"/>
  <c r="AG10" i="17"/>
  <c r="AG19" i="17"/>
  <c r="BB21" i="17"/>
  <c r="AW26" i="17"/>
  <c r="AQ7" i="17"/>
  <c r="BB18" i="17"/>
  <c r="BA18" i="17"/>
  <c r="AW23" i="17"/>
  <c r="AQ34" i="17"/>
  <c r="AQ13" i="17"/>
  <c r="AP12" i="17"/>
  <c r="AK24" i="17"/>
  <c r="BA7" i="17"/>
  <c r="AG27" i="17"/>
  <c r="AK11" i="17"/>
  <c r="BB25" i="17"/>
  <c r="AQ25" i="17"/>
  <c r="AP23" i="17"/>
  <c r="AG14" i="17"/>
  <c r="BA33" i="17"/>
  <c r="AQ19" i="17"/>
  <c r="AW22" i="17"/>
  <c r="AQ33" i="17"/>
  <c r="AK9" i="17"/>
  <c r="AK20" i="17"/>
  <c r="BK27" i="14"/>
  <c r="BK16" i="14"/>
  <c r="BK23" i="14"/>
  <c r="BK31" i="14"/>
  <c r="BK22" i="14"/>
  <c r="BK30" i="14"/>
  <c r="AN18" i="14"/>
  <c r="AN17" i="14"/>
  <c r="AN34" i="14"/>
  <c r="AN12" i="14"/>
  <c r="AN23" i="14"/>
  <c r="AN9" i="14"/>
  <c r="AN26" i="14"/>
  <c r="AN29" i="14"/>
  <c r="AN25" i="14"/>
  <c r="AN24" i="14"/>
  <c r="AN35" i="14"/>
  <c r="AN15" i="14"/>
  <c r="AN28" i="14"/>
  <c r="AN22" i="14"/>
  <c r="AN7" i="14"/>
  <c r="AN32" i="14"/>
  <c r="AN20" i="14"/>
  <c r="AN33" i="14"/>
  <c r="AN10" i="14"/>
  <c r="AN31" i="14"/>
  <c r="AN16" i="14"/>
  <c r="AN11" i="14"/>
  <c r="AN19" i="14"/>
  <c r="AN8" i="14"/>
  <c r="AN30" i="14"/>
  <c r="AN13" i="14"/>
  <c r="AN27" i="14"/>
  <c r="AV34" i="14"/>
  <c r="AV24" i="14"/>
  <c r="AV23" i="14"/>
  <c r="AV14" i="14"/>
  <c r="AV35" i="14"/>
  <c r="AV11" i="14"/>
  <c r="AV28" i="14"/>
  <c r="AV22" i="14"/>
  <c r="AV17" i="14"/>
  <c r="AV30" i="14"/>
  <c r="AV19" i="14"/>
  <c r="AV8" i="14"/>
  <c r="BI26" i="14"/>
  <c r="BI32" i="14"/>
  <c r="BI28" i="14"/>
  <c r="BI8" i="14"/>
  <c r="BI7" i="14"/>
  <c r="AP7" i="14"/>
  <c r="AW8" i="14"/>
  <c r="AW30" i="14"/>
  <c r="AY28" i="14"/>
  <c r="AX32" i="14"/>
  <c r="AZ19" i="14"/>
  <c r="AX19" i="14"/>
  <c r="BF8" i="14"/>
  <c r="AR28" i="14"/>
  <c r="AR22" i="14"/>
  <c r="AY8" i="14"/>
  <c r="AY19" i="14"/>
  <c r="AX27" i="14"/>
  <c r="BF19" i="14"/>
  <c r="AZ21" i="14"/>
  <c r="BF9" i="14"/>
  <c r="BF17" i="14"/>
  <c r="AR25" i="14"/>
  <c r="AR26" i="14"/>
  <c r="AY15" i="14"/>
  <c r="AY25" i="14"/>
  <c r="BF16" i="14"/>
  <c r="AY13" i="14"/>
  <c r="AY31" i="14"/>
  <c r="AX23" i="14"/>
  <c r="BF21" i="14"/>
  <c r="AP15" i="14"/>
  <c r="AR7" i="14"/>
  <c r="AR24" i="14"/>
  <c r="AY30" i="14"/>
  <c r="AK12" i="14"/>
  <c r="AK15" i="14"/>
  <c r="AK22" i="14"/>
  <c r="AK19" i="14"/>
  <c r="AW12" i="14"/>
  <c r="AW7" i="14"/>
  <c r="AW10" i="14"/>
  <c r="AX17" i="14"/>
  <c r="AY20" i="14"/>
  <c r="AY21" i="14"/>
  <c r="AX21" i="14"/>
  <c r="AX8" i="14"/>
  <c r="BA16" i="14"/>
  <c r="AZ28" i="14"/>
  <c r="AY26" i="14"/>
  <c r="BF23" i="14"/>
  <c r="AP19" i="14"/>
  <c r="AZ24" i="14"/>
  <c r="AR35" i="14"/>
  <c r="AX12" i="14"/>
  <c r="AP14" i="14"/>
  <c r="AW32" i="14"/>
  <c r="AW29" i="14"/>
  <c r="AX20" i="14"/>
  <c r="AX14" i="14"/>
  <c r="BF27" i="14"/>
  <c r="BF11" i="14"/>
  <c r="AP30" i="14"/>
  <c r="AR8" i="14"/>
  <c r="AY32" i="14"/>
  <c r="AX16" i="14"/>
  <c r="AW26" i="14"/>
  <c r="AZ30" i="14"/>
  <c r="AZ35" i="14"/>
  <c r="AY16" i="14"/>
  <c r="BF14" i="14"/>
  <c r="AP18" i="14"/>
  <c r="AZ13" i="14"/>
  <c r="AR30" i="14"/>
  <c r="AX31" i="14"/>
  <c r="AP32" i="14"/>
  <c r="AX25" i="14"/>
  <c r="AX34" i="14"/>
  <c r="BF7" i="14"/>
  <c r="AR31" i="14"/>
  <c r="BF25" i="14"/>
  <c r="AX9" i="14"/>
  <c r="AR20" i="14"/>
  <c r="AR17" i="14"/>
  <c r="AR16" i="14"/>
  <c r="AR33" i="14"/>
  <c r="AW18" i="14"/>
  <c r="AZ34" i="14"/>
  <c r="D38" i="14"/>
  <c r="BD28" i="11"/>
  <c r="BD31" i="11"/>
  <c r="BD33" i="11"/>
  <c r="BD21" i="11"/>
  <c r="BD26" i="11"/>
  <c r="BD15" i="11"/>
  <c r="BD19" i="11"/>
  <c r="BD8" i="11"/>
  <c r="BD11" i="11"/>
  <c r="AS15" i="11"/>
  <c r="AS27" i="11"/>
  <c r="AS32" i="11"/>
  <c r="AS21" i="11"/>
  <c r="AS20" i="11"/>
  <c r="AS25" i="11"/>
  <c r="AS34" i="11"/>
  <c r="AS36" i="11"/>
  <c r="AS7" i="11"/>
  <c r="AS35" i="11"/>
  <c r="AS12" i="11"/>
  <c r="AS11" i="11"/>
  <c r="AS33" i="11"/>
  <c r="AS18" i="11"/>
  <c r="AS26" i="11"/>
  <c r="AS19" i="11"/>
  <c r="AS9" i="11"/>
  <c r="AS13" i="11"/>
  <c r="AK16" i="11"/>
  <c r="AV17" i="11"/>
  <c r="AN36" i="11"/>
  <c r="BB34" i="11"/>
  <c r="AY24" i="11"/>
  <c r="AN34" i="11"/>
  <c r="BK16" i="11"/>
  <c r="AY25" i="11"/>
  <c r="BC8" i="11"/>
  <c r="AK17" i="11"/>
  <c r="AN32" i="11"/>
  <c r="BB33" i="11"/>
  <c r="AN10" i="11"/>
  <c r="AY27" i="11"/>
  <c r="BC20" i="11"/>
  <c r="BI13" i="11"/>
  <c r="AN35" i="11"/>
  <c r="BK33" i="11"/>
  <c r="AY17" i="11"/>
  <c r="BC19" i="11"/>
  <c r="AN33" i="11"/>
  <c r="AQ7" i="11"/>
  <c r="AK21" i="11"/>
  <c r="BI17" i="11"/>
  <c r="BK8" i="11"/>
  <c r="AV32" i="11"/>
  <c r="AV33" i="11"/>
  <c r="AY30" i="11"/>
  <c r="AK11" i="11"/>
  <c r="AK23" i="11"/>
  <c r="AG17" i="13"/>
  <c r="AK27" i="13"/>
  <c r="AK28" i="13"/>
  <c r="AI16" i="13"/>
  <c r="AI15" i="13"/>
  <c r="AI31" i="13"/>
  <c r="AI12" i="13"/>
  <c r="AI11" i="13"/>
  <c r="AG24" i="13"/>
  <c r="AK29" i="13"/>
  <c r="AG15" i="13"/>
  <c r="AK20" i="13"/>
  <c r="AI23" i="20"/>
  <c r="AF12" i="20"/>
  <c r="AF15" i="20"/>
  <c r="Z8" i="10"/>
  <c r="AE31" i="10"/>
  <c r="Z22" i="10"/>
  <c r="Z28" i="10"/>
  <c r="Z16" i="10"/>
  <c r="Z12" i="10"/>
  <c r="AE6" i="10"/>
  <c r="Z14" i="10"/>
  <c r="AE7" i="10"/>
  <c r="BL14" i="17"/>
  <c r="BL30" i="17"/>
  <c r="BL32" i="17"/>
  <c r="BL15" i="17"/>
  <c r="BL31" i="17"/>
  <c r="BL16" i="17"/>
  <c r="BL17" i="17"/>
  <c r="BL7" i="17"/>
  <c r="BL18" i="17"/>
  <c r="BL12" i="17"/>
  <c r="BL23" i="17"/>
  <c r="BL26" i="17"/>
  <c r="BL13" i="17"/>
  <c r="BL19" i="17"/>
  <c r="BL20" i="17"/>
  <c r="BL21" i="17"/>
  <c r="BL22" i="17"/>
  <c r="BL24" i="17"/>
  <c r="BL25" i="17"/>
  <c r="BL8" i="17"/>
  <c r="AG12" i="17"/>
  <c r="AG8" i="17"/>
  <c r="BK29" i="17"/>
  <c r="AK7" i="17"/>
  <c r="AB38" i="17"/>
  <c r="BC30" i="17"/>
  <c r="BK25" i="17"/>
  <c r="AV9" i="17"/>
  <c r="AV25" i="17"/>
  <c r="AV27" i="17"/>
  <c r="AV10" i="17"/>
  <c r="AV26" i="17"/>
  <c r="AV11" i="17"/>
  <c r="AV16" i="17"/>
  <c r="AV35" i="17"/>
  <c r="AV17" i="17"/>
  <c r="AV7" i="17"/>
  <c r="AV29" i="17"/>
  <c r="AV32" i="17"/>
  <c r="AV14" i="17"/>
  <c r="AV18" i="17"/>
  <c r="AV30" i="17"/>
  <c r="AV31" i="17"/>
  <c r="AV8" i="17"/>
  <c r="AV12" i="17"/>
  <c r="AV33" i="17"/>
  <c r="AV13" i="17"/>
  <c r="AV34" i="17"/>
  <c r="AV15" i="17"/>
  <c r="AV19" i="17"/>
  <c r="BH32" i="17"/>
  <c r="BE29" i="17"/>
  <c r="BC28" i="17"/>
  <c r="AT7" i="17"/>
  <c r="AT35" i="17"/>
  <c r="BC24" i="17"/>
  <c r="AT17" i="17"/>
  <c r="AT16" i="17"/>
  <c r="BL29" i="17"/>
  <c r="AR20" i="17"/>
  <c r="AV23" i="17"/>
  <c r="AR19" i="17"/>
  <c r="BL27" i="17"/>
  <c r="AR21" i="17"/>
  <c r="AR24" i="17"/>
  <c r="AR22" i="17"/>
  <c r="AR23" i="17"/>
  <c r="AR8" i="17"/>
  <c r="AR25" i="17"/>
  <c r="AR26" i="17"/>
  <c r="AR27" i="17"/>
  <c r="AR28" i="17"/>
  <c r="AR11" i="17"/>
  <c r="AR34" i="17"/>
  <c r="AR7" i="17"/>
  <c r="AR15" i="17"/>
  <c r="AR29" i="17"/>
  <c r="AR30" i="17"/>
  <c r="AR31" i="17"/>
  <c r="AR9" i="17"/>
  <c r="AR32" i="17"/>
  <c r="AR10" i="17"/>
  <c r="AR33" i="17"/>
  <c r="AR12" i="17"/>
  <c r="AR35" i="17"/>
  <c r="AR13" i="17"/>
  <c r="AR14" i="17"/>
  <c r="BC17" i="17"/>
  <c r="BC33" i="17"/>
  <c r="BC19" i="17"/>
  <c r="BC18" i="17"/>
  <c r="BC34" i="17"/>
  <c r="BC35" i="17"/>
  <c r="BC25" i="17"/>
  <c r="BC26" i="17"/>
  <c r="BC8" i="17"/>
  <c r="BC10" i="17"/>
  <c r="BC31" i="17"/>
  <c r="BC16" i="17"/>
  <c r="BC11" i="17"/>
  <c r="BC32" i="17"/>
  <c r="BC12" i="17"/>
  <c r="BC7" i="17"/>
  <c r="BC13" i="17"/>
  <c r="BC14" i="17"/>
  <c r="BC15" i="17"/>
  <c r="BC20" i="17"/>
  <c r="BC21" i="17"/>
  <c r="BC22" i="17"/>
  <c r="BK17" i="17"/>
  <c r="BK33" i="17"/>
  <c r="BK35" i="17"/>
  <c r="BK18" i="17"/>
  <c r="BK34" i="17"/>
  <c r="BK19" i="17"/>
  <c r="BK26" i="17"/>
  <c r="BK8" i="17"/>
  <c r="BK27" i="17"/>
  <c r="BK9" i="17"/>
  <c r="BK30" i="17"/>
  <c r="BK12" i="17"/>
  <c r="BK15" i="17"/>
  <c r="BK20" i="17"/>
  <c r="BK10" i="17"/>
  <c r="BK31" i="17"/>
  <c r="BK11" i="17"/>
  <c r="BK32" i="17"/>
  <c r="BK7" i="17"/>
  <c r="BK13" i="17"/>
  <c r="BK14" i="17"/>
  <c r="BK16" i="17"/>
  <c r="BK21" i="17"/>
  <c r="BJ20" i="17"/>
  <c r="BJ7" i="17"/>
  <c r="BJ21" i="17"/>
  <c r="BJ22" i="17"/>
  <c r="BJ16" i="17"/>
  <c r="BJ35" i="17"/>
  <c r="BJ17" i="17"/>
  <c r="BJ25" i="17"/>
  <c r="BJ28" i="17"/>
  <c r="BJ10" i="17"/>
  <c r="BJ31" i="17"/>
  <c r="BJ12" i="17"/>
  <c r="BJ26" i="17"/>
  <c r="BJ27" i="17"/>
  <c r="BJ8" i="17"/>
  <c r="BJ29" i="17"/>
  <c r="BJ9" i="17"/>
  <c r="BJ30" i="17"/>
  <c r="BJ11" i="17"/>
  <c r="BJ32" i="17"/>
  <c r="BJ33" i="17"/>
  <c r="BJ13" i="17"/>
  <c r="BJ34" i="17"/>
  <c r="BK28" i="17"/>
  <c r="AG7" i="17"/>
  <c r="BH23" i="17"/>
  <c r="BH9" i="17"/>
  <c r="BH8" i="17"/>
  <c r="BH24" i="17"/>
  <c r="BH25" i="17"/>
  <c r="BH28" i="17"/>
  <c r="BH10" i="17"/>
  <c r="BH29" i="17"/>
  <c r="BH17" i="17"/>
  <c r="BH26" i="17"/>
  <c r="BH27" i="17"/>
  <c r="BH30" i="17"/>
  <c r="BH18" i="17"/>
  <c r="BH19" i="17"/>
  <c r="BH20" i="17"/>
  <c r="BH21" i="17"/>
  <c r="BH22" i="17"/>
  <c r="BH31" i="17"/>
  <c r="BH33" i="17"/>
  <c r="BE23" i="17"/>
  <c r="BE25" i="17"/>
  <c r="BE8" i="17"/>
  <c r="BE24" i="17"/>
  <c r="BE9" i="17"/>
  <c r="BE27" i="17"/>
  <c r="BE28" i="17"/>
  <c r="BE14" i="17"/>
  <c r="BE35" i="17"/>
  <c r="BE20" i="17"/>
  <c r="BE21" i="17"/>
  <c r="BE15" i="17"/>
  <c r="BE7" i="17"/>
  <c r="BE16" i="17"/>
  <c r="BE17" i="17"/>
  <c r="BE18" i="17"/>
  <c r="BE19" i="17"/>
  <c r="BE22" i="17"/>
  <c r="BE26" i="17"/>
  <c r="BH16" i="17"/>
  <c r="BE13" i="17"/>
  <c r="BK22" i="17"/>
  <c r="BE12" i="17"/>
  <c r="BH14" i="17"/>
  <c r="BL35" i="17"/>
  <c r="AB36" i="17"/>
  <c r="BH12" i="17"/>
  <c r="BL33" i="17"/>
  <c r="AT14" i="17"/>
  <c r="BH11" i="17"/>
  <c r="AV24" i="17"/>
  <c r="AK12" i="17"/>
  <c r="BL28" i="17"/>
  <c r="BJ23" i="17"/>
  <c r="AV22" i="17"/>
  <c r="AS8" i="17"/>
  <c r="AS24" i="17"/>
  <c r="AS11" i="17"/>
  <c r="AS27" i="17"/>
  <c r="AS9" i="17"/>
  <c r="AS25" i="17"/>
  <c r="AS10" i="17"/>
  <c r="AS26" i="17"/>
  <c r="AS15" i="17"/>
  <c r="AS35" i="17"/>
  <c r="AS16" i="17"/>
  <c r="AS7" i="17"/>
  <c r="AS17" i="17"/>
  <c r="AS21" i="17"/>
  <c r="AS31" i="17"/>
  <c r="AS22" i="17"/>
  <c r="AS23" i="17"/>
  <c r="AS28" i="17"/>
  <c r="AS29" i="17"/>
  <c r="AS30" i="17"/>
  <c r="AS32" i="17"/>
  <c r="AS33" i="17"/>
  <c r="AS34" i="17"/>
  <c r="AS12" i="17"/>
  <c r="AG22" i="17"/>
  <c r="AT11" i="17"/>
  <c r="AT27" i="17"/>
  <c r="AT13" i="17"/>
  <c r="AT12" i="17"/>
  <c r="AT28" i="17"/>
  <c r="AT29" i="17"/>
  <c r="AT25" i="17"/>
  <c r="AT26" i="17"/>
  <c r="AT8" i="17"/>
  <c r="AT30" i="17"/>
  <c r="AT18" i="17"/>
  <c r="AT24" i="17"/>
  <c r="AT32" i="17"/>
  <c r="AT9" i="17"/>
  <c r="AT19" i="17"/>
  <c r="AT20" i="17"/>
  <c r="AT21" i="17"/>
  <c r="AT22" i="17"/>
  <c r="AT23" i="17"/>
  <c r="AT31" i="17"/>
  <c r="AT33" i="17"/>
  <c r="AT34" i="17"/>
  <c r="BC29" i="17"/>
  <c r="BK23" i="17"/>
  <c r="BC27" i="17"/>
  <c r="AK30" i="17"/>
  <c r="BH13" i="17"/>
  <c r="BL34" i="17"/>
  <c r="BE10" i="17"/>
  <c r="BC9" i="17"/>
  <c r="AT15" i="17"/>
  <c r="AV28" i="17"/>
  <c r="AS20" i="17"/>
  <c r="BJ19" i="17"/>
  <c r="BL11" i="17"/>
  <c r="AV21" i="17"/>
  <c r="AS18" i="17"/>
  <c r="AR17" i="17"/>
  <c r="BJ18" i="17"/>
  <c r="BL10" i="17"/>
  <c r="AV20" i="17"/>
  <c r="AS14" i="17"/>
  <c r="AR16" i="17"/>
  <c r="AN8" i="17"/>
  <c r="AN24" i="17"/>
  <c r="AN26" i="17"/>
  <c r="AN27" i="17"/>
  <c r="AN7" i="17"/>
  <c r="AN9" i="17"/>
  <c r="AN25" i="17"/>
  <c r="AN10" i="17"/>
  <c r="AN11" i="17"/>
  <c r="AN16" i="17"/>
  <c r="AN17" i="17"/>
  <c r="AN18" i="17"/>
  <c r="AX17" i="17"/>
  <c r="AX33" i="17"/>
  <c r="AX19" i="17"/>
  <c r="AX18" i="17"/>
  <c r="AX34" i="17"/>
  <c r="AX35" i="17"/>
  <c r="AX8" i="17"/>
  <c r="AX27" i="17"/>
  <c r="AX9" i="17"/>
  <c r="AX28" i="17"/>
  <c r="AX10" i="17"/>
  <c r="AX29" i="17"/>
  <c r="AU12" i="17"/>
  <c r="AU28" i="17"/>
  <c r="AU30" i="17"/>
  <c r="AU13" i="17"/>
  <c r="AU29" i="17"/>
  <c r="AU14" i="17"/>
  <c r="AU25" i="17"/>
  <c r="AU26" i="17"/>
  <c r="AU35" i="17"/>
  <c r="AU11" i="17"/>
  <c r="AX16" i="17"/>
  <c r="AN35" i="17"/>
  <c r="AN12" i="17"/>
  <c r="AU10" i="17"/>
  <c r="AY33" i="17"/>
  <c r="AX15" i="17"/>
  <c r="AN34" i="17"/>
  <c r="AG25" i="17"/>
  <c r="BG23" i="17"/>
  <c r="AU33" i="17"/>
  <c r="AU9" i="17"/>
  <c r="AY32" i="17"/>
  <c r="AY10" i="17"/>
  <c r="AX14" i="17"/>
  <c r="AN33" i="17"/>
  <c r="AG35" i="17"/>
  <c r="AZ23" i="17"/>
  <c r="AZ25" i="17"/>
  <c r="AZ8" i="17"/>
  <c r="AZ24" i="17"/>
  <c r="AZ9" i="17"/>
  <c r="AZ10" i="17"/>
  <c r="AZ29" i="17"/>
  <c r="AZ11" i="17"/>
  <c r="AZ30" i="17"/>
  <c r="AZ12" i="17"/>
  <c r="AZ31" i="17"/>
  <c r="BG30" i="17"/>
  <c r="AC36" i="17"/>
  <c r="AU31" i="17"/>
  <c r="AZ26" i="17"/>
  <c r="AY30" i="17"/>
  <c r="AY8" i="17"/>
  <c r="AX12" i="17"/>
  <c r="AN31" i="17"/>
  <c r="AO15" i="17"/>
  <c r="AO31" i="17"/>
  <c r="AO18" i="17"/>
  <c r="AO16" i="17"/>
  <c r="AO32" i="17"/>
  <c r="AO17" i="17"/>
  <c r="AO33" i="17"/>
  <c r="AO19" i="17"/>
  <c r="AO20" i="17"/>
  <c r="AO21" i="17"/>
  <c r="BF11" i="17"/>
  <c r="BF16" i="17"/>
  <c r="BF12" i="17"/>
  <c r="BF13" i="17"/>
  <c r="BF14" i="17"/>
  <c r="BF15" i="17"/>
  <c r="BF29" i="17"/>
  <c r="BF26" i="17"/>
  <c r="BF31" i="17"/>
  <c r="BF24" i="17"/>
  <c r="BF33" i="17"/>
  <c r="BG21" i="17"/>
  <c r="BF22" i="17"/>
  <c r="AU27" i="17"/>
  <c r="BF27" i="17"/>
  <c r="AZ22" i="17"/>
  <c r="AY29" i="17"/>
  <c r="AX7" i="17"/>
  <c r="AX11" i="17"/>
  <c r="AO12" i="17"/>
  <c r="AN30" i="17"/>
  <c r="AK31" i="17"/>
  <c r="BF28" i="17"/>
  <c r="AU24" i="17"/>
  <c r="BF25" i="17"/>
  <c r="AY28" i="17"/>
  <c r="AX32" i="17"/>
  <c r="AO11" i="17"/>
  <c r="AP18" i="17"/>
  <c r="AP34" i="17"/>
  <c r="AP21" i="17"/>
  <c r="AP19" i="17"/>
  <c r="AP35" i="17"/>
  <c r="AP20" i="17"/>
  <c r="AP7" i="17"/>
  <c r="AP9" i="17"/>
  <c r="AP29" i="17"/>
  <c r="AP10" i="17"/>
  <c r="AP30" i="17"/>
  <c r="AP11" i="17"/>
  <c r="AP31" i="17"/>
  <c r="BA11" i="17"/>
  <c r="BA27" i="17"/>
  <c r="BA13" i="17"/>
  <c r="BA12" i="17"/>
  <c r="BA28" i="17"/>
  <c r="BA29" i="17"/>
  <c r="BA23" i="17"/>
  <c r="BA24" i="17"/>
  <c r="BA25" i="17"/>
  <c r="AK16" i="17"/>
  <c r="BG12" i="17"/>
  <c r="BF30" i="17"/>
  <c r="AU23" i="17"/>
  <c r="BA26" i="17"/>
  <c r="BF23" i="17"/>
  <c r="AZ20" i="17"/>
  <c r="AY27" i="17"/>
  <c r="AX31" i="17"/>
  <c r="AP33" i="17"/>
  <c r="AO7" i="17"/>
  <c r="AO10" i="17"/>
  <c r="AN28" i="17"/>
  <c r="BF32" i="17"/>
  <c r="AU22" i="17"/>
  <c r="BA22" i="17"/>
  <c r="BF21" i="17"/>
  <c r="AZ19" i="17"/>
  <c r="AX30" i="17"/>
  <c r="AP32" i="17"/>
  <c r="AO35" i="17"/>
  <c r="AO9" i="17"/>
  <c r="AN23" i="17"/>
  <c r="BG26" i="17"/>
  <c r="BG27" i="17"/>
  <c r="BG20" i="17"/>
  <c r="BG19" i="17"/>
  <c r="BG7" i="17"/>
  <c r="BG35" i="17"/>
  <c r="BG33" i="17"/>
  <c r="BG10" i="17"/>
  <c r="BG32" i="17"/>
  <c r="AY20" i="17"/>
  <c r="AY7" i="17"/>
  <c r="AY22" i="17"/>
  <c r="AY21" i="17"/>
  <c r="AY17" i="17"/>
  <c r="AY18" i="17"/>
  <c r="AY19" i="17"/>
  <c r="BG16" i="17"/>
  <c r="AU34" i="17"/>
  <c r="AY11" i="17"/>
  <c r="AG15" i="17"/>
  <c r="AU32" i="17"/>
  <c r="AU8" i="17"/>
  <c r="AZ27" i="17"/>
  <c r="AY31" i="17"/>
  <c r="AY9" i="17"/>
  <c r="AX13" i="17"/>
  <c r="AN32" i="17"/>
  <c r="BG14" i="17"/>
  <c r="AG20" i="17"/>
  <c r="AG33" i="17"/>
  <c r="BG28" i="17"/>
  <c r="AZ21" i="17"/>
  <c r="AN29" i="17"/>
  <c r="BG24" i="17"/>
  <c r="BF34" i="17"/>
  <c r="AU21" i="17"/>
  <c r="BA21" i="17"/>
  <c r="BF19" i="17"/>
  <c r="AZ18" i="17"/>
  <c r="AY25" i="17"/>
  <c r="AX26" i="17"/>
  <c r="AP28" i="17"/>
  <c r="AO34" i="17"/>
  <c r="AO8" i="17"/>
  <c r="AN22" i="17"/>
  <c r="AK18" i="17"/>
  <c r="AK8" i="17"/>
  <c r="AG18" i="17"/>
  <c r="AQ21" i="17"/>
  <c r="AQ23" i="17"/>
  <c r="AQ8" i="17"/>
  <c r="AQ24" i="17"/>
  <c r="AQ22" i="17"/>
  <c r="BB14" i="17"/>
  <c r="BB30" i="17"/>
  <c r="BB16" i="17"/>
  <c r="BB15" i="17"/>
  <c r="BB31" i="17"/>
  <c r="BB32" i="17"/>
  <c r="BB35" i="17"/>
  <c r="BB13" i="17"/>
  <c r="AQ20" i="17"/>
  <c r="AW32" i="17"/>
  <c r="BD21" i="17"/>
  <c r="AW31" i="17"/>
  <c r="AW15" i="17"/>
  <c r="BD22" i="17"/>
  <c r="AW16" i="17"/>
  <c r="BD7" i="17"/>
  <c r="AW30" i="17"/>
  <c r="AS29" i="14"/>
  <c r="BA7" i="14"/>
  <c r="BA32" i="14"/>
  <c r="BI29" i="14"/>
  <c r="AT16" i="14"/>
  <c r="AT26" i="14"/>
  <c r="AT12" i="14"/>
  <c r="AT25" i="14"/>
  <c r="AT11" i="14"/>
  <c r="AT33" i="14"/>
  <c r="AT27" i="14"/>
  <c r="AT29" i="14"/>
  <c r="AT7" i="14"/>
  <c r="AT20" i="14"/>
  <c r="AT23" i="14"/>
  <c r="AT8" i="14"/>
  <c r="BB13" i="14"/>
  <c r="BB20" i="14"/>
  <c r="BB7" i="14"/>
  <c r="BB12" i="14"/>
  <c r="BB18" i="14"/>
  <c r="BB10" i="14"/>
  <c r="BB11" i="14"/>
  <c r="BB8" i="14"/>
  <c r="BB35" i="14"/>
  <c r="BB34" i="14"/>
  <c r="BB21" i="14"/>
  <c r="BB14" i="14"/>
  <c r="BB19" i="14"/>
  <c r="BB22" i="14"/>
  <c r="BB16" i="14"/>
  <c r="BB27" i="14"/>
  <c r="AK14" i="14"/>
  <c r="BJ34" i="14"/>
  <c r="BJ25" i="14"/>
  <c r="BJ18" i="14"/>
  <c r="BJ12" i="14"/>
  <c r="BJ17" i="14"/>
  <c r="BJ7" i="14"/>
  <c r="BJ24" i="14"/>
  <c r="BJ10" i="14"/>
  <c r="BJ20" i="14"/>
  <c r="BJ14" i="14"/>
  <c r="BJ19" i="14"/>
  <c r="BJ23" i="14"/>
  <c r="BJ16" i="14"/>
  <c r="BJ26" i="14"/>
  <c r="BJ15" i="14"/>
  <c r="BJ8" i="14"/>
  <c r="BJ9" i="14"/>
  <c r="BJ11" i="14"/>
  <c r="BJ33" i="14"/>
  <c r="BJ32" i="14"/>
  <c r="AT30" i="14"/>
  <c r="BC20" i="14"/>
  <c r="BB29" i="14"/>
  <c r="AT15" i="14"/>
  <c r="BB30" i="14"/>
  <c r="AS8" i="14"/>
  <c r="BA27" i="14"/>
  <c r="AS28" i="14"/>
  <c r="AU8" i="14"/>
  <c r="AT9" i="14"/>
  <c r="BD32" i="14"/>
  <c r="BD7" i="14"/>
  <c r="BD11" i="14"/>
  <c r="BD28" i="14"/>
  <c r="BD13" i="14"/>
  <c r="BD14" i="14"/>
  <c r="BD8" i="14"/>
  <c r="BD15" i="14"/>
  <c r="BD22" i="14"/>
  <c r="BD30" i="14"/>
  <c r="BD29" i="14"/>
  <c r="BD19" i="14"/>
  <c r="BD12" i="14"/>
  <c r="BC31" i="14"/>
  <c r="BD16" i="14"/>
  <c r="BH32" i="14"/>
  <c r="BJ28" i="14"/>
  <c r="AV16" i="14"/>
  <c r="AU27" i="14"/>
  <c r="BL27" i="14"/>
  <c r="BL10" i="14"/>
  <c r="BL19" i="14"/>
  <c r="BL12" i="14"/>
  <c r="BL13" i="14"/>
  <c r="BL15" i="14"/>
  <c r="BL31" i="14"/>
  <c r="BL32" i="14"/>
  <c r="BL33" i="14"/>
  <c r="BL34" i="14"/>
  <c r="BL7" i="14"/>
  <c r="BL26" i="14"/>
  <c r="BL28" i="14"/>
  <c r="BL30" i="14"/>
  <c r="BL23" i="14"/>
  <c r="BL29" i="14"/>
  <c r="BL35" i="14"/>
  <c r="BL24" i="14"/>
  <c r="BC35" i="14"/>
  <c r="BD24" i="14"/>
  <c r="BD33" i="14"/>
  <c r="AU20" i="14"/>
  <c r="BB32" i="14"/>
  <c r="BL21" i="14"/>
  <c r="BJ27" i="14"/>
  <c r="BB23" i="14"/>
  <c r="BD23" i="14"/>
  <c r="BH27" i="14"/>
  <c r="AU34" i="14"/>
  <c r="BD25" i="14"/>
  <c r="AP12" i="14"/>
  <c r="AP20" i="14"/>
  <c r="AP25" i="14"/>
  <c r="AP9" i="14"/>
  <c r="AP16" i="14"/>
  <c r="AP34" i="14"/>
  <c r="AP29" i="14"/>
  <c r="AP27" i="14"/>
  <c r="AP13" i="14"/>
  <c r="AP22" i="14"/>
  <c r="AP21" i="14"/>
  <c r="AP10" i="14"/>
  <c r="AP17" i="14"/>
  <c r="AP33" i="14"/>
  <c r="AP24" i="14"/>
  <c r="AP26" i="14"/>
  <c r="AP28" i="14"/>
  <c r="AP23" i="14"/>
  <c r="AW9" i="14"/>
  <c r="AW16" i="14"/>
  <c r="AW17" i="14"/>
  <c r="AW28" i="14"/>
  <c r="AW11" i="14"/>
  <c r="AW25" i="14"/>
  <c r="AW31" i="14"/>
  <c r="AW15" i="14"/>
  <c r="AW33" i="14"/>
  <c r="AW22" i="14"/>
  <c r="AW13" i="14"/>
  <c r="AW24" i="14"/>
  <c r="AW21" i="14"/>
  <c r="AW23" i="14"/>
  <c r="BE29" i="14"/>
  <c r="BE34" i="14"/>
  <c r="BE18" i="14"/>
  <c r="BE17" i="14"/>
  <c r="BE10" i="14"/>
  <c r="BE26" i="14"/>
  <c r="BE15" i="14"/>
  <c r="BE20" i="14"/>
  <c r="BE7" i="14"/>
  <c r="BE30" i="14"/>
  <c r="BE9" i="14"/>
  <c r="BE21" i="14"/>
  <c r="BE16" i="14"/>
  <c r="BE13" i="14"/>
  <c r="BE14" i="14"/>
  <c r="BC15" i="14"/>
  <c r="BD34" i="14"/>
  <c r="AU31" i="14"/>
  <c r="BL20" i="14"/>
  <c r="BJ31" i="14"/>
  <c r="BA22" i="14"/>
  <c r="BB15" i="14"/>
  <c r="BD27" i="14"/>
  <c r="AW20" i="14"/>
  <c r="AU10" i="14"/>
  <c r="AU11" i="14"/>
  <c r="BH23" i="14"/>
  <c r="BH22" i="14"/>
  <c r="BH11" i="14"/>
  <c r="BH33" i="14"/>
  <c r="BH31" i="14"/>
  <c r="BH21" i="14"/>
  <c r="BH17" i="14"/>
  <c r="BH12" i="14"/>
  <c r="BH10" i="14"/>
  <c r="BH34" i="14"/>
  <c r="BH24" i="14"/>
  <c r="BH19" i="14"/>
  <c r="BH13" i="14"/>
  <c r="BH29" i="14"/>
  <c r="BH28" i="14"/>
  <c r="BH26" i="14"/>
  <c r="BI15" i="14"/>
  <c r="BI27" i="14"/>
  <c r="BI10" i="14"/>
  <c r="BI21" i="14"/>
  <c r="BI12" i="14"/>
  <c r="BI34" i="14"/>
  <c r="BI22" i="14"/>
  <c r="BI23" i="14"/>
  <c r="BI11" i="14"/>
  <c r="BI24" i="14"/>
  <c r="BI16" i="14"/>
  <c r="BI25" i="14"/>
  <c r="BI35" i="14"/>
  <c r="BI19" i="14"/>
  <c r="BI14" i="14"/>
  <c r="BI18" i="14"/>
  <c r="BI13" i="14"/>
  <c r="AK25" i="14"/>
  <c r="BI9" i="14"/>
  <c r="BI33" i="14"/>
  <c r="BH9" i="14"/>
  <c r="BB33" i="14"/>
  <c r="AO12" i="14"/>
  <c r="AO20" i="14"/>
  <c r="AO16" i="14"/>
  <c r="AO22" i="14"/>
  <c r="AO11" i="14"/>
  <c r="AO7" i="14"/>
  <c r="AO34" i="14"/>
  <c r="AO24" i="14"/>
  <c r="AO21" i="14"/>
  <c r="AO8" i="14"/>
  <c r="AO27" i="14"/>
  <c r="AO35" i="14"/>
  <c r="AO30" i="14"/>
  <c r="AO18" i="14"/>
  <c r="AO14" i="14"/>
  <c r="AO9" i="14"/>
  <c r="AO25" i="14"/>
  <c r="AO15" i="14"/>
  <c r="AO10" i="14"/>
  <c r="AV13" i="14"/>
  <c r="AV27" i="14"/>
  <c r="AV25" i="14"/>
  <c r="AV18" i="14"/>
  <c r="AV29" i="14"/>
  <c r="AV15" i="14"/>
  <c r="AV26" i="14"/>
  <c r="AV20" i="14"/>
  <c r="AV32" i="14"/>
  <c r="AV10" i="14"/>
  <c r="AV12" i="14"/>
  <c r="AV31" i="14"/>
  <c r="AV9" i="14"/>
  <c r="BK14" i="14"/>
  <c r="BK7" i="14"/>
  <c r="BK18" i="14"/>
  <c r="BK9" i="14"/>
  <c r="BK26" i="14"/>
  <c r="BK28" i="14"/>
  <c r="BK19" i="14"/>
  <c r="BK33" i="14"/>
  <c r="BK35" i="14"/>
  <c r="BK12" i="14"/>
  <c r="BK17" i="14"/>
  <c r="BK25" i="14"/>
  <c r="BK10" i="14"/>
  <c r="BK20" i="14"/>
  <c r="BK11" i="14"/>
  <c r="BK29" i="14"/>
  <c r="BK34" i="14"/>
  <c r="BK24" i="14"/>
  <c r="BK13" i="14"/>
  <c r="BK8" i="14"/>
  <c r="BK15" i="14"/>
  <c r="BK21" i="14"/>
  <c r="BK32" i="14"/>
  <c r="BH14" i="14"/>
  <c r="BH8" i="14"/>
  <c r="BJ21" i="14"/>
  <c r="BB28" i="14"/>
  <c r="AV33" i="14"/>
  <c r="BB31" i="14"/>
  <c r="AO17" i="14"/>
  <c r="BD31" i="14"/>
  <c r="BH30" i="14"/>
  <c r="AU24" i="14"/>
  <c r="AB36" i="14"/>
  <c r="BI17" i="14"/>
  <c r="BD18" i="14"/>
  <c r="BJ30" i="14"/>
  <c r="AO19" i="14"/>
  <c r="BH18" i="14"/>
  <c r="BI30" i="14"/>
  <c r="AS27" i="14"/>
  <c r="AS14" i="14"/>
  <c r="AS11" i="14"/>
  <c r="AS17" i="14"/>
  <c r="AS35" i="14"/>
  <c r="AS30" i="14"/>
  <c r="AS20" i="14"/>
  <c r="AS34" i="14"/>
  <c r="AS21" i="14"/>
  <c r="AS18" i="14"/>
  <c r="BA19" i="14"/>
  <c r="BA13" i="14"/>
  <c r="BA29" i="14"/>
  <c r="BA20" i="14"/>
  <c r="BA12" i="14"/>
  <c r="BA18" i="14"/>
  <c r="BA15" i="14"/>
  <c r="BA21" i="14"/>
  <c r="BA24" i="14"/>
  <c r="BA35" i="14"/>
  <c r="BA25" i="14"/>
  <c r="BA34" i="14"/>
  <c r="BA14" i="14"/>
  <c r="BA9" i="14"/>
  <c r="BA31" i="14"/>
  <c r="BA30" i="14"/>
  <c r="AS33" i="14"/>
  <c r="AS25" i="14"/>
  <c r="AS9" i="14"/>
  <c r="BI20" i="14"/>
  <c r="AS32" i="14"/>
  <c r="AT17" i="14"/>
  <c r="BA26" i="14"/>
  <c r="BB26" i="14"/>
  <c r="AT28" i="14"/>
  <c r="AS31" i="14"/>
  <c r="AU14" i="14"/>
  <c r="AU28" i="14"/>
  <c r="AU23" i="14"/>
  <c r="AU13" i="14"/>
  <c r="AU22" i="14"/>
  <c r="AU32" i="14"/>
  <c r="AU25" i="14"/>
  <c r="AU26" i="14"/>
  <c r="AU30" i="14"/>
  <c r="AU19" i="14"/>
  <c r="AU29" i="14"/>
  <c r="AU16" i="14"/>
  <c r="AU7" i="14"/>
  <c r="AU35" i="14"/>
  <c r="AU12" i="14"/>
  <c r="AU33" i="14"/>
  <c r="BC24" i="14"/>
  <c r="BC14" i="14"/>
  <c r="BC23" i="14"/>
  <c r="BC34" i="14"/>
  <c r="BC9" i="14"/>
  <c r="BC27" i="14"/>
  <c r="BC16" i="14"/>
  <c r="BC21" i="14"/>
  <c r="BC28" i="14"/>
  <c r="BC32" i="14"/>
  <c r="BC12" i="14"/>
  <c r="BC8" i="14"/>
  <c r="BC10" i="14"/>
  <c r="BC25" i="14"/>
  <c r="BC30" i="14"/>
  <c r="BC29" i="14"/>
  <c r="BH7" i="14"/>
  <c r="AT14" i="14"/>
  <c r="BA33" i="14"/>
  <c r="BJ35" i="14"/>
  <c r="AO33" i="14"/>
  <c r="AV21" i="14"/>
  <c r="AU18" i="14"/>
  <c r="BL17" i="14"/>
  <c r="BA17" i="14"/>
  <c r="AK31" i="14"/>
  <c r="AS23" i="14"/>
  <c r="AS19" i="14"/>
  <c r="AS7" i="14"/>
  <c r="AU15" i="14"/>
  <c r="BL25" i="14"/>
  <c r="BJ29" i="14"/>
  <c r="BA28" i="14"/>
  <c r="AV7" i="14"/>
  <c r="BH35" i="14"/>
  <c r="AS24" i="14"/>
  <c r="BA8" i="14"/>
  <c r="AP31" i="14"/>
  <c r="AU21" i="14"/>
  <c r="BC26" i="14"/>
  <c r="BI31" i="14"/>
  <c r="BE25" i="14"/>
  <c r="AS10" i="14"/>
  <c r="AU9" i="14"/>
  <c r="BL8" i="14"/>
  <c r="BJ13" i="14"/>
  <c r="BA11" i="14"/>
  <c r="BH20" i="14"/>
  <c r="AS22" i="14"/>
  <c r="AB38" i="14"/>
  <c r="AQ10" i="14"/>
  <c r="AQ13" i="14"/>
  <c r="AQ8" i="14"/>
  <c r="AQ12" i="14"/>
  <c r="AQ26" i="14"/>
  <c r="AQ7" i="14"/>
  <c r="AQ15" i="14"/>
  <c r="AQ29" i="14"/>
  <c r="AQ17" i="14"/>
  <c r="AK8" i="14"/>
  <c r="AQ14" i="14"/>
  <c r="AQ19" i="14"/>
  <c r="BG24" i="14"/>
  <c r="BG23" i="14"/>
  <c r="BG7" i="14"/>
  <c r="BG26" i="14"/>
  <c r="BG33" i="14"/>
  <c r="BG32" i="14"/>
  <c r="BG10" i="14"/>
  <c r="BG19" i="14"/>
  <c r="BG28" i="14"/>
  <c r="BG18" i="14"/>
  <c r="BG11" i="14"/>
  <c r="BG14" i="14"/>
  <c r="BG20" i="14"/>
  <c r="BG27" i="14"/>
  <c r="AY34" i="14"/>
  <c r="AY24" i="14"/>
  <c r="AY7" i="14"/>
  <c r="AY35" i="14"/>
  <c r="AY12" i="14"/>
  <c r="AY22" i="14"/>
  <c r="AY23" i="14"/>
  <c r="AY17" i="14"/>
  <c r="AY33" i="14"/>
  <c r="AY18" i="14"/>
  <c r="AY10" i="14"/>
  <c r="AY14" i="14"/>
  <c r="AQ27" i="14"/>
  <c r="AX33" i="14"/>
  <c r="AX15" i="14"/>
  <c r="AX24" i="14"/>
  <c r="AZ18" i="14"/>
  <c r="AX30" i="14"/>
  <c r="AZ20" i="14"/>
  <c r="AX10" i="14"/>
  <c r="AR19" i="14"/>
  <c r="AR27" i="14"/>
  <c r="AR23" i="14"/>
  <c r="AZ22" i="14"/>
  <c r="BF15" i="14"/>
  <c r="BF20" i="14"/>
  <c r="BF32" i="14"/>
  <c r="BF33" i="14"/>
  <c r="AX13" i="14"/>
  <c r="AX18" i="14"/>
  <c r="AZ23" i="14"/>
  <c r="AX11" i="14"/>
  <c r="AZ33" i="14"/>
  <c r="AX7" i="14"/>
  <c r="AK11" i="14"/>
  <c r="AZ12" i="14"/>
  <c r="AZ16" i="14"/>
  <c r="AZ25" i="14"/>
  <c r="AX26" i="14"/>
  <c r="BF13" i="14"/>
  <c r="BF22" i="14"/>
  <c r="AZ10" i="14"/>
  <c r="AZ15" i="14"/>
  <c r="AX28" i="14"/>
  <c r="AR12" i="14"/>
  <c r="AN14" i="14"/>
  <c r="AN21" i="14"/>
  <c r="AT19" i="11"/>
  <c r="AT15" i="11"/>
  <c r="AT17" i="11"/>
  <c r="AT29" i="11"/>
  <c r="AT28" i="11"/>
  <c r="AT11" i="11"/>
  <c r="AT13" i="11"/>
  <c r="BE36" i="11"/>
  <c r="AU29" i="11"/>
  <c r="BE10" i="11"/>
  <c r="BA17" i="11"/>
  <c r="AU10" i="11"/>
  <c r="AV31" i="11"/>
  <c r="BF30" i="11"/>
  <c r="BA12" i="11"/>
  <c r="BF18" i="11"/>
  <c r="AV16" i="11"/>
  <c r="AY18" i="11"/>
  <c r="AU11" i="11"/>
  <c r="BF24" i="11"/>
  <c r="AN8" i="11"/>
  <c r="AN13" i="11"/>
  <c r="BK31" i="11"/>
  <c r="AN23" i="11"/>
  <c r="BF10" i="11"/>
  <c r="BF12" i="11"/>
  <c r="AS31" i="11"/>
  <c r="AS29" i="11"/>
  <c r="BE17" i="11"/>
  <c r="AV20" i="11"/>
  <c r="AY14" i="11"/>
  <c r="AQ31" i="11"/>
  <c r="AP30" i="11"/>
  <c r="BI16" i="11"/>
  <c r="AN20" i="11"/>
  <c r="BK28" i="11"/>
  <c r="AN9" i="11"/>
  <c r="AZ36" i="11"/>
  <c r="AX35" i="11"/>
  <c r="AP33" i="11"/>
  <c r="BF11" i="11"/>
  <c r="AS22" i="11"/>
  <c r="AX30" i="11"/>
  <c r="BE30" i="11"/>
  <c r="AV11" i="11"/>
  <c r="BD29" i="11"/>
  <c r="AY20" i="11"/>
  <c r="AQ22" i="11"/>
  <c r="AP24" i="11"/>
  <c r="BE35" i="11"/>
  <c r="AU31" i="11"/>
  <c r="BA18" i="11"/>
  <c r="AU12" i="11"/>
  <c r="BL22" i="11"/>
  <c r="AV34" i="11"/>
  <c r="AU21" i="11"/>
  <c r="BA20" i="11"/>
  <c r="BA31" i="11"/>
  <c r="BA15" i="11"/>
  <c r="BA23" i="11"/>
  <c r="AC37" i="11"/>
  <c r="AK32" i="11"/>
  <c r="AN22" i="11"/>
  <c r="BF32" i="11"/>
  <c r="BF34" i="11"/>
  <c r="BF25" i="11"/>
  <c r="BE31" i="11"/>
  <c r="AV23" i="11"/>
  <c r="AY22" i="11"/>
  <c r="AN29" i="11"/>
  <c r="BK34" i="11"/>
  <c r="AN27" i="11"/>
  <c r="BF36" i="11"/>
  <c r="BE13" i="11"/>
  <c r="AV15" i="11"/>
  <c r="AY21" i="11"/>
  <c r="AQ17" i="11"/>
  <c r="BI28" i="11"/>
  <c r="AK12" i="11"/>
  <c r="AU35" i="11"/>
  <c r="BF19" i="11"/>
  <c r="AK20" i="11"/>
  <c r="AU32" i="11"/>
  <c r="AV12" i="11"/>
  <c r="AU19" i="11"/>
  <c r="AV14" i="11"/>
  <c r="AU13" i="11"/>
  <c r="AN28" i="11"/>
  <c r="BA14" i="11"/>
  <c r="AX34" i="11"/>
  <c r="AX7" i="11"/>
  <c r="AV9" i="11"/>
  <c r="AY16" i="11"/>
  <c r="AK36" i="11"/>
  <c r="BF27" i="11"/>
  <c r="AN16" i="11"/>
  <c r="BK32" i="11"/>
  <c r="BA28" i="11"/>
  <c r="AN15" i="11"/>
  <c r="AZ35" i="11"/>
  <c r="AP32" i="11"/>
  <c r="AP34" i="11"/>
  <c r="BF8" i="11"/>
  <c r="AX24" i="11"/>
  <c r="BE24" i="11"/>
  <c r="AV28" i="11"/>
  <c r="AY9" i="11"/>
  <c r="AQ8" i="11"/>
  <c r="AP25" i="11"/>
  <c r="BI20" i="11"/>
  <c r="AN24" i="11"/>
  <c r="BK17" i="11"/>
  <c r="BA19" i="11"/>
  <c r="AN18" i="11"/>
  <c r="AV36" i="11"/>
  <c r="AP36" i="11"/>
  <c r="BE34" i="11"/>
  <c r="BF29" i="11"/>
  <c r="AS16" i="11"/>
  <c r="AX25" i="11"/>
  <c r="BE11" i="11"/>
  <c r="AV19" i="11"/>
  <c r="AY29" i="11"/>
  <c r="AQ16" i="11"/>
  <c r="AP26" i="11"/>
  <c r="BI10" i="11"/>
  <c r="AN17" i="11"/>
  <c r="AP10" i="11"/>
  <c r="AX18" i="11"/>
  <c r="AR30" i="11"/>
  <c r="AP16" i="11"/>
  <c r="AW19" i="11"/>
  <c r="AW20" i="11"/>
  <c r="AW15" i="11"/>
  <c r="AW25" i="11"/>
  <c r="AW35" i="11"/>
  <c r="AW9" i="11"/>
  <c r="AW36" i="11"/>
  <c r="AW23" i="11"/>
  <c r="AW29" i="11"/>
  <c r="AW13" i="11"/>
  <c r="AW24" i="11"/>
  <c r="AW30" i="11"/>
  <c r="AW22" i="11"/>
  <c r="AW18" i="11"/>
  <c r="AW34" i="11"/>
  <c r="AW17" i="11"/>
  <c r="AW33" i="11"/>
  <c r="AW16" i="11"/>
  <c r="AW31" i="11"/>
  <c r="AW7" i="11"/>
  <c r="AW14" i="11"/>
  <c r="AW10" i="11"/>
  <c r="BL30" i="11"/>
  <c r="AB39" i="11"/>
  <c r="AK7" i="11"/>
  <c r="AZ18" i="11"/>
  <c r="AW11" i="11"/>
  <c r="AR17" i="11"/>
  <c r="BL18" i="11"/>
  <c r="BH9" i="11"/>
  <c r="BH33" i="11"/>
  <c r="BH16" i="11"/>
  <c r="BH36" i="11"/>
  <c r="BH26" i="11"/>
  <c r="BH30" i="11"/>
  <c r="BH35" i="11"/>
  <c r="BH34" i="11"/>
  <c r="BH27" i="11"/>
  <c r="BH8" i="11"/>
  <c r="BH13" i="11"/>
  <c r="BH25" i="11"/>
  <c r="BH20" i="11"/>
  <c r="BH18" i="11"/>
  <c r="BH17" i="11"/>
  <c r="BH31" i="11"/>
  <c r="BH10" i="11"/>
  <c r="BH19" i="11"/>
  <c r="BH29" i="11"/>
  <c r="BH12" i="11"/>
  <c r="BH32" i="11"/>
  <c r="BH23" i="11"/>
  <c r="BH7" i="11"/>
  <c r="BH22" i="11"/>
  <c r="BH24" i="11"/>
  <c r="BH28" i="11"/>
  <c r="BH21" i="11"/>
  <c r="BG19" i="11"/>
  <c r="BG14" i="11"/>
  <c r="BG23" i="11"/>
  <c r="BG32" i="11"/>
  <c r="BG17" i="11"/>
  <c r="BG11" i="11"/>
  <c r="BG33" i="11"/>
  <c r="BG8" i="11"/>
  <c r="BG20" i="11"/>
  <c r="BG36" i="11"/>
  <c r="BG22" i="11"/>
  <c r="BG13" i="11"/>
  <c r="BG27" i="11"/>
  <c r="BG28" i="11"/>
  <c r="BG29" i="11"/>
  <c r="BG15" i="11"/>
  <c r="BG9" i="11"/>
  <c r="BG26" i="11"/>
  <c r="BG21" i="11"/>
  <c r="BG31" i="11"/>
  <c r="BG18" i="11"/>
  <c r="BG24" i="11"/>
  <c r="BG30" i="11"/>
  <c r="BG25" i="11"/>
  <c r="BG10" i="11"/>
  <c r="BG35" i="11"/>
  <c r="AW8" i="11"/>
  <c r="BG34" i="11"/>
  <c r="AW28" i="11"/>
  <c r="D39" i="11"/>
  <c r="AB37" i="11"/>
  <c r="BL14" i="11"/>
  <c r="BL25" i="11"/>
  <c r="BL24" i="11"/>
  <c r="BL15" i="11"/>
  <c r="BL31" i="11"/>
  <c r="BL12" i="11"/>
  <c r="BL33" i="11"/>
  <c r="BL8" i="11"/>
  <c r="BL26" i="11"/>
  <c r="BL36" i="11"/>
  <c r="BL20" i="11"/>
  <c r="BL23" i="11"/>
  <c r="BL9" i="11"/>
  <c r="BL34" i="11"/>
  <c r="BL10" i="11"/>
  <c r="BL11" i="11"/>
  <c r="BL32" i="11"/>
  <c r="BL16" i="11"/>
  <c r="BL28" i="11"/>
  <c r="BL35" i="11"/>
  <c r="BL17" i="11"/>
  <c r="AZ27" i="11"/>
  <c r="AZ7" i="11"/>
  <c r="AZ14" i="11"/>
  <c r="AZ23" i="11"/>
  <c r="AZ12" i="11"/>
  <c r="AZ21" i="11"/>
  <c r="AZ11" i="11"/>
  <c r="AZ13" i="11"/>
  <c r="AZ29" i="11"/>
  <c r="AZ8" i="11"/>
  <c r="AZ9" i="11"/>
  <c r="AZ20" i="11"/>
  <c r="AZ15" i="11"/>
  <c r="AZ34" i="11"/>
  <c r="AZ22" i="11"/>
  <c r="AZ33" i="11"/>
  <c r="AZ16" i="11"/>
  <c r="AZ24" i="11"/>
  <c r="AZ26" i="11"/>
  <c r="AZ30" i="11"/>
  <c r="BL13" i="11"/>
  <c r="AZ32" i="11"/>
  <c r="AW27" i="11"/>
  <c r="AZ25" i="11"/>
  <c r="AR27" i="11"/>
  <c r="AR14" i="11"/>
  <c r="AR10" i="11"/>
  <c r="AR23" i="11"/>
  <c r="AR34" i="11"/>
  <c r="AR8" i="11"/>
  <c r="AR25" i="11"/>
  <c r="AR21" i="11"/>
  <c r="AR31" i="11"/>
  <c r="AR33" i="11"/>
  <c r="AR13" i="11"/>
  <c r="AR9" i="11"/>
  <c r="AR12" i="11"/>
  <c r="AR22" i="11"/>
  <c r="AR7" i="11"/>
  <c r="AR26" i="11"/>
  <c r="AR32" i="11"/>
  <c r="AR35" i="11"/>
  <c r="AR19" i="11"/>
  <c r="AR36" i="11"/>
  <c r="AR28" i="11"/>
  <c r="AR29" i="11"/>
  <c r="AR11" i="11"/>
  <c r="BB9" i="11"/>
  <c r="BB25" i="11"/>
  <c r="BB7" i="11"/>
  <c r="BB24" i="11"/>
  <c r="BB14" i="11"/>
  <c r="BB27" i="11"/>
  <c r="BB17" i="11"/>
  <c r="BB10" i="11"/>
  <c r="BB13" i="11"/>
  <c r="BB36" i="11"/>
  <c r="BB18" i="11"/>
  <c r="BB23" i="11"/>
  <c r="BB30" i="11"/>
  <c r="BB31" i="11"/>
  <c r="BB12" i="11"/>
  <c r="BB28" i="11"/>
  <c r="BB32" i="11"/>
  <c r="BB19" i="11"/>
  <c r="BB35" i="11"/>
  <c r="BB15" i="11"/>
  <c r="BB29" i="11"/>
  <c r="BL29" i="11"/>
  <c r="AZ28" i="11"/>
  <c r="BJ36" i="11"/>
  <c r="BJ22" i="11"/>
  <c r="BJ25" i="11"/>
  <c r="BJ26" i="11"/>
  <c r="BJ33" i="11"/>
  <c r="BJ28" i="11"/>
  <c r="BJ15" i="11"/>
  <c r="BJ17" i="11"/>
  <c r="BJ21" i="11"/>
  <c r="BJ27" i="11"/>
  <c r="BJ19" i="11"/>
  <c r="BJ16" i="11"/>
  <c r="BJ8" i="11"/>
  <c r="BJ10" i="11"/>
  <c r="BJ34" i="11"/>
  <c r="BJ12" i="11"/>
  <c r="BJ32" i="11"/>
  <c r="BJ18" i="11"/>
  <c r="BJ7" i="11"/>
  <c r="BJ20" i="11"/>
  <c r="BJ29" i="11"/>
  <c r="BJ23" i="11"/>
  <c r="BL7" i="11"/>
  <c r="AW26" i="11"/>
  <c r="AZ19" i="11"/>
  <c r="AW12" i="11"/>
  <c r="AR16" i="11"/>
  <c r="BL19" i="11"/>
  <c r="AW21" i="11"/>
  <c r="AR15" i="11"/>
  <c r="AR20" i="11"/>
  <c r="AW32" i="11"/>
  <c r="BL21" i="11"/>
  <c r="BA36" i="11"/>
  <c r="BA8" i="11"/>
  <c r="BA9" i="11"/>
  <c r="BA24" i="11"/>
  <c r="BA11" i="11"/>
  <c r="BA32" i="11"/>
  <c r="BA30" i="11"/>
  <c r="BA35" i="11"/>
  <c r="BA10" i="11"/>
  <c r="BA26" i="11"/>
  <c r="BA25" i="11"/>
  <c r="BA16" i="11"/>
  <c r="BA34" i="11"/>
  <c r="BC18" i="11"/>
  <c r="BC36" i="11"/>
  <c r="BC14" i="11"/>
  <c r="BC34" i="11"/>
  <c r="BC15" i="11"/>
  <c r="BC33" i="11"/>
  <c r="BC26" i="11"/>
  <c r="BC23" i="11"/>
  <c r="BC28" i="11"/>
  <c r="BC7" i="11"/>
  <c r="BC11" i="11"/>
  <c r="BC10" i="11"/>
  <c r="BC32" i="11"/>
  <c r="BC27" i="11"/>
  <c r="BD23" i="11"/>
  <c r="BD36" i="11"/>
  <c r="BD7" i="11"/>
  <c r="BD9" i="11"/>
  <c r="BD22" i="11"/>
  <c r="BD10" i="11"/>
  <c r="BD16" i="11"/>
  <c r="BD32" i="11"/>
  <c r="BD27" i="11"/>
  <c r="BD35" i="11"/>
  <c r="BD24" i="11"/>
  <c r="BD14" i="11"/>
  <c r="BD12" i="11"/>
  <c r="BC21" i="11"/>
  <c r="BA22" i="11"/>
  <c r="BD34" i="11"/>
  <c r="BD20" i="11"/>
  <c r="AT9" i="11"/>
  <c r="AT8" i="11"/>
  <c r="AT7" i="11"/>
  <c r="AT25" i="11"/>
  <c r="AT10" i="11"/>
  <c r="AT14" i="11"/>
  <c r="AT24" i="11"/>
  <c r="AT20" i="11"/>
  <c r="AT34" i="11"/>
  <c r="AT22" i="11"/>
  <c r="AT33" i="11"/>
  <c r="AT16" i="11"/>
  <c r="AT12" i="11"/>
  <c r="AT26" i="11"/>
  <c r="AT21" i="11"/>
  <c r="BC22" i="11"/>
  <c r="BA13" i="11"/>
  <c r="AT18" i="11"/>
  <c r="BD25" i="11"/>
  <c r="BC24" i="11"/>
  <c r="BE14" i="11"/>
  <c r="BE23" i="11"/>
  <c r="BE33" i="11"/>
  <c r="BE28" i="11"/>
  <c r="BE9" i="11"/>
  <c r="BE8" i="11"/>
  <c r="BE18" i="11"/>
  <c r="BE15" i="11"/>
  <c r="BE26" i="11"/>
  <c r="BE29" i="11"/>
  <c r="BE21" i="11"/>
  <c r="BE12" i="11"/>
  <c r="BE7" i="11"/>
  <c r="BC9" i="11"/>
  <c r="BA21" i="11"/>
  <c r="AT32" i="11"/>
  <c r="BE25" i="11"/>
  <c r="AT30" i="11"/>
  <c r="BD30" i="11"/>
  <c r="BC25" i="11"/>
  <c r="AU20" i="11"/>
  <c r="AU18" i="11"/>
  <c r="AU8" i="11"/>
  <c r="AU26" i="11"/>
  <c r="AU15" i="11"/>
  <c r="AU27" i="11"/>
  <c r="AU30" i="11"/>
  <c r="AU28" i="11"/>
  <c r="AU34" i="11"/>
  <c r="AU14" i="11"/>
  <c r="AU22" i="11"/>
  <c r="AU33" i="11"/>
  <c r="AU16" i="11"/>
  <c r="BC29" i="11"/>
  <c r="BA7" i="11"/>
  <c r="BC35" i="11"/>
  <c r="AT35" i="11"/>
  <c r="BE16" i="11"/>
  <c r="AT27" i="11"/>
  <c r="BD17" i="11"/>
  <c r="AU7" i="11"/>
  <c r="BC31" i="11"/>
  <c r="BF20" i="11"/>
  <c r="BF35" i="11"/>
  <c r="BF26" i="11"/>
  <c r="BF17" i="11"/>
  <c r="BF13" i="11"/>
  <c r="BF16" i="11"/>
  <c r="BF21" i="11"/>
  <c r="BF22" i="11"/>
  <c r="BF23" i="11"/>
  <c r="BF31" i="11"/>
  <c r="BA27" i="11"/>
  <c r="AT36" i="11"/>
  <c r="BF28" i="11"/>
  <c r="BE22" i="11"/>
  <c r="AT31" i="11"/>
  <c r="BD18" i="11"/>
  <c r="BC30" i="11"/>
  <c r="AV8" i="11"/>
  <c r="AV30" i="11"/>
  <c r="AV21" i="11"/>
  <c r="AV18" i="11"/>
  <c r="AV29" i="11"/>
  <c r="AV25" i="11"/>
  <c r="AV26" i="11"/>
  <c r="AV24" i="11"/>
  <c r="AV13" i="11"/>
  <c r="AV27" i="11"/>
  <c r="AV22" i="11"/>
  <c r="AV7" i="11"/>
  <c r="BA29" i="11"/>
  <c r="AU36" i="11"/>
  <c r="BF33" i="11"/>
  <c r="BE27" i="11"/>
  <c r="AT23" i="11"/>
  <c r="BD13" i="11"/>
  <c r="BC17" i="11"/>
  <c r="AN11" i="11"/>
  <c r="AN26" i="11"/>
  <c r="AN21" i="11"/>
  <c r="AN14" i="11"/>
  <c r="AN31" i="11"/>
  <c r="AN7" i="11"/>
  <c r="AN25" i="11"/>
  <c r="AN12" i="11"/>
  <c r="AN19" i="11"/>
  <c r="AP19" i="11"/>
  <c r="AX21" i="11"/>
  <c r="AY11" i="11"/>
  <c r="AY31" i="11"/>
  <c r="AY34" i="11"/>
  <c r="AY13" i="11"/>
  <c r="AY23" i="11"/>
  <c r="AY33" i="11"/>
  <c r="AY19" i="11"/>
  <c r="AY15" i="11"/>
  <c r="AY8" i="11"/>
  <c r="AY10" i="11"/>
  <c r="AY26" i="11"/>
  <c r="AY32" i="11"/>
  <c r="BI14" i="11"/>
  <c r="BI21" i="11"/>
  <c r="BI24" i="11"/>
  <c r="BI35" i="11"/>
  <c r="BI32" i="11"/>
  <c r="BI11" i="11"/>
  <c r="BI27" i="11"/>
  <c r="BI31" i="11"/>
  <c r="BK20" i="11"/>
  <c r="BK23" i="11"/>
  <c r="BK18" i="11"/>
  <c r="BK36" i="11"/>
  <c r="BK13" i="11"/>
  <c r="BK7" i="11"/>
  <c r="BK11" i="11"/>
  <c r="AX26" i="11"/>
  <c r="AX17" i="11"/>
  <c r="AX11" i="11"/>
  <c r="AX14" i="11"/>
  <c r="AX22" i="11"/>
  <c r="AX15" i="11"/>
  <c r="AX32" i="11"/>
  <c r="AX9" i="11"/>
  <c r="AP11" i="11"/>
  <c r="AP35" i="11"/>
  <c r="AP27" i="11"/>
  <c r="AP12" i="11"/>
  <c r="AP21" i="11"/>
  <c r="AP31" i="11"/>
  <c r="AP8" i="11"/>
  <c r="AP22" i="11"/>
  <c r="AK15" i="11"/>
  <c r="AX36" i="11"/>
  <c r="BI18" i="11"/>
  <c r="BK22" i="11"/>
  <c r="AY35" i="11"/>
  <c r="AX10" i="11"/>
  <c r="AX23" i="11"/>
  <c r="AX28" i="11"/>
  <c r="AY12" i="11"/>
  <c r="AP23" i="11"/>
  <c r="AQ14" i="11"/>
  <c r="AQ23" i="11"/>
  <c r="AQ10" i="11"/>
  <c r="AQ15" i="11"/>
  <c r="AQ26" i="11"/>
  <c r="AQ33" i="11"/>
  <c r="AQ21" i="11"/>
  <c r="AQ12" i="11"/>
  <c r="AQ18" i="11"/>
  <c r="BI23" i="11"/>
  <c r="AS14" i="11"/>
  <c r="AS17" i="11"/>
  <c r="AS28" i="11"/>
  <c r="AS24" i="11"/>
  <c r="AS10" i="11"/>
  <c r="AS8" i="11"/>
  <c r="AS30" i="11"/>
  <c r="AS23" i="11"/>
  <c r="AU13" i="13"/>
  <c r="AU14" i="13"/>
  <c r="AU31" i="13"/>
  <c r="AU24" i="13"/>
  <c r="AU25" i="13"/>
  <c r="AU29" i="13"/>
  <c r="AU26" i="13"/>
  <c r="AU27" i="13"/>
  <c r="AU28" i="13"/>
  <c r="AU30" i="13"/>
  <c r="AU7" i="13"/>
  <c r="AU8" i="13"/>
  <c r="AU15" i="13"/>
  <c r="AU22" i="13"/>
  <c r="AU10" i="13"/>
  <c r="AU23" i="13"/>
  <c r="AU19" i="13"/>
  <c r="AL8" i="13"/>
  <c r="AL15" i="13"/>
  <c r="AL20" i="13"/>
  <c r="AL11" i="13"/>
  <c r="AL14" i="13"/>
  <c r="AL16" i="13"/>
  <c r="AL18" i="13"/>
  <c r="AL17" i="13"/>
  <c r="AL21" i="13"/>
  <c r="AL9" i="13"/>
  <c r="AL26" i="13"/>
  <c r="AL12" i="13"/>
  <c r="AW26" i="13"/>
  <c r="AX25" i="13"/>
  <c r="AX22" i="13"/>
  <c r="AP25" i="13"/>
  <c r="AW31" i="13"/>
  <c r="AG28" i="13"/>
  <c r="AW29" i="13"/>
  <c r="AN18" i="13"/>
  <c r="AX12" i="13"/>
  <c r="AW23" i="13"/>
  <c r="AX11" i="13"/>
  <c r="AY31" i="13"/>
  <c r="AX10" i="13"/>
  <c r="AZ24" i="13"/>
  <c r="AW20" i="13"/>
  <c r="AP23" i="13"/>
  <c r="AO30" i="13"/>
  <c r="AZ19" i="13"/>
  <c r="AO23" i="13"/>
  <c r="AX9" i="13"/>
  <c r="AW15" i="13"/>
  <c r="AS23" i="13"/>
  <c r="AR15" i="13"/>
  <c r="AP10" i="13"/>
  <c r="AO9" i="13"/>
  <c r="AR12" i="13"/>
  <c r="BA29" i="13"/>
  <c r="AX20" i="13"/>
  <c r="AR19" i="13"/>
  <c r="AO20" i="13"/>
  <c r="AR11" i="13"/>
  <c r="BA23" i="13"/>
  <c r="AW8" i="13"/>
  <c r="AS24" i="13"/>
  <c r="AP21" i="13"/>
  <c r="AI9" i="13"/>
  <c r="AW9" i="13"/>
  <c r="AP29" i="13"/>
  <c r="AG23" i="13"/>
  <c r="AW17" i="13"/>
  <c r="AO29" i="13"/>
  <c r="BB7" i="13"/>
  <c r="AY22" i="13"/>
  <c r="AW14" i="13"/>
  <c r="AS25" i="13"/>
  <c r="AP22" i="13"/>
  <c r="AI18" i="13"/>
  <c r="AY21" i="13"/>
  <c r="AQ10" i="13"/>
  <c r="AO17" i="13"/>
  <c r="AQ12" i="13"/>
  <c r="BA25" i="13"/>
  <c r="AY18" i="13"/>
  <c r="AX7" i="13"/>
  <c r="AW7" i="13"/>
  <c r="AS10" i="13"/>
  <c r="AQ22" i="13"/>
  <c r="AP18" i="13"/>
  <c r="AO16" i="13"/>
  <c r="AI20" i="13"/>
  <c r="AQ11" i="13"/>
  <c r="AW30" i="13"/>
  <c r="AX24" i="13"/>
  <c r="AO26" i="13"/>
  <c r="AQ31" i="13"/>
  <c r="AZ17" i="13"/>
  <c r="AX21" i="13"/>
  <c r="AX18" i="13"/>
  <c r="AW16" i="13"/>
  <c r="AP24" i="13"/>
  <c r="AP31" i="13"/>
  <c r="AY10" i="13"/>
  <c r="AX8" i="13"/>
  <c r="BA24" i="13"/>
  <c r="AX28" i="13"/>
  <c r="AW28" i="13"/>
  <c r="AS22" i="13"/>
  <c r="AQ21" i="13"/>
  <c r="AP9" i="13"/>
  <c r="AO15" i="13"/>
  <c r="AI17" i="13"/>
  <c r="AP12" i="13"/>
  <c r="AN9" i="13"/>
  <c r="AG18" i="13"/>
  <c r="AN20" i="13"/>
  <c r="AG14" i="13"/>
  <c r="AM8" i="13"/>
  <c r="AV17" i="13"/>
  <c r="AM28" i="13"/>
  <c r="AM11" i="13"/>
  <c r="AM16" i="13"/>
  <c r="AM9" i="13"/>
  <c r="AM18" i="13"/>
  <c r="AM12" i="13"/>
  <c r="AM17" i="13"/>
  <c r="AM21" i="13"/>
  <c r="AM20" i="13"/>
  <c r="AM15" i="13"/>
  <c r="AM10" i="13"/>
  <c r="AM24" i="13"/>
  <c r="AM30" i="13"/>
  <c r="AM31" i="13"/>
  <c r="AM26" i="13"/>
  <c r="AM19" i="13"/>
  <c r="AM22" i="13"/>
  <c r="AM25" i="13"/>
  <c r="AM23" i="13"/>
  <c r="AM29" i="13"/>
  <c r="AV27" i="13"/>
  <c r="AV23" i="13"/>
  <c r="AV12" i="13"/>
  <c r="AV26" i="13"/>
  <c r="AV15" i="13"/>
  <c r="AV28" i="13"/>
  <c r="AV29" i="13"/>
  <c r="AV14" i="13"/>
  <c r="AV11" i="13"/>
  <c r="AV7" i="13"/>
  <c r="AV30" i="13"/>
  <c r="AV8" i="13"/>
  <c r="AV31" i="13"/>
  <c r="AV21" i="13"/>
  <c r="AV10" i="13"/>
  <c r="AV24" i="13"/>
  <c r="AV22" i="13"/>
  <c r="AV25" i="13"/>
  <c r="AV19" i="13"/>
  <c r="AN27" i="13"/>
  <c r="AN23" i="13"/>
  <c r="AN26" i="13"/>
  <c r="AN15" i="13"/>
  <c r="AN31" i="13"/>
  <c r="AN28" i="13"/>
  <c r="AN29" i="13"/>
  <c r="AN12" i="13"/>
  <c r="AN8" i="13"/>
  <c r="AN14" i="13"/>
  <c r="AN11" i="13"/>
  <c r="AN7" i="13"/>
  <c r="AN30" i="13"/>
  <c r="AN21" i="13"/>
  <c r="AN10" i="13"/>
  <c r="AN19" i="13"/>
  <c r="AN22" i="13"/>
  <c r="AN24" i="13"/>
  <c r="AN25" i="13"/>
  <c r="AN17" i="13"/>
  <c r="AG10" i="13"/>
  <c r="W34" i="13"/>
  <c r="AN13" i="13"/>
  <c r="AV18" i="13"/>
  <c r="AM14" i="13"/>
  <c r="AV9" i="13"/>
  <c r="AV20" i="13"/>
  <c r="AM7" i="13"/>
  <c r="AV13" i="13"/>
  <c r="AM13" i="13"/>
  <c r="BA21" i="13"/>
  <c r="AR20" i="13"/>
  <c r="AR10" i="13"/>
  <c r="AR9" i="13"/>
  <c r="AR21" i="13"/>
  <c r="AR22" i="13"/>
  <c r="AR31" i="13"/>
  <c r="AR18" i="13"/>
  <c r="AR14" i="13"/>
  <c r="BB9" i="13"/>
  <c r="BA9" i="13"/>
  <c r="AZ8" i="13"/>
  <c r="AS9" i="13"/>
  <c r="AR8" i="13"/>
  <c r="AZ11" i="13"/>
  <c r="BA20" i="13"/>
  <c r="AK7" i="13"/>
  <c r="AK30" i="13"/>
  <c r="AK15" i="13"/>
  <c r="AK17" i="13"/>
  <c r="AK8" i="13"/>
  <c r="AK26" i="13"/>
  <c r="AK31" i="13"/>
  <c r="AK14" i="13"/>
  <c r="AK16" i="13"/>
  <c r="AR27" i="13"/>
  <c r="AK19" i="13"/>
  <c r="AL22" i="13"/>
  <c r="AL23" i="13"/>
  <c r="AL29" i="13"/>
  <c r="AL7" i="13"/>
  <c r="AL30" i="13"/>
  <c r="AL10" i="13"/>
  <c r="AL13" i="13"/>
  <c r="AL27" i="13"/>
  <c r="AL31" i="13"/>
  <c r="AL28" i="13"/>
  <c r="AL19" i="13"/>
  <c r="AL24" i="13"/>
  <c r="AL25" i="13"/>
  <c r="AU11" i="13"/>
  <c r="AU16" i="13"/>
  <c r="AU21" i="13"/>
  <c r="AU12" i="13"/>
  <c r="AU17" i="13"/>
  <c r="AU9" i="13"/>
  <c r="AU18" i="13"/>
  <c r="AU20" i="13"/>
  <c r="AY19" i="13"/>
  <c r="AY24" i="13"/>
  <c r="AY29" i="13"/>
  <c r="AY13" i="13"/>
  <c r="AY25" i="13"/>
  <c r="AY28" i="13"/>
  <c r="AY7" i="13"/>
  <c r="AY27" i="13"/>
  <c r="AY23" i="13"/>
  <c r="AY8" i="13"/>
  <c r="AY26" i="13"/>
  <c r="AY30" i="13"/>
  <c r="AY17" i="13"/>
  <c r="AZ20" i="13"/>
  <c r="AZ22" i="13"/>
  <c r="AZ9" i="13"/>
  <c r="AZ21" i="13"/>
  <c r="AZ10" i="13"/>
  <c r="AZ18" i="13"/>
  <c r="AZ31" i="13"/>
  <c r="AZ16" i="13"/>
  <c r="AY16" i="13"/>
  <c r="AQ19" i="13"/>
  <c r="AQ24" i="13"/>
  <c r="AQ29" i="13"/>
  <c r="AQ8" i="13"/>
  <c r="AQ13" i="13"/>
  <c r="AQ25" i="13"/>
  <c r="AQ28" i="13"/>
  <c r="AQ7" i="13"/>
  <c r="AQ27" i="13"/>
  <c r="AQ23" i="13"/>
  <c r="AQ26" i="13"/>
  <c r="AQ30" i="13"/>
  <c r="BA7" i="13"/>
  <c r="BA30" i="13"/>
  <c r="BA15" i="13"/>
  <c r="BA17" i="13"/>
  <c r="BA8" i="13"/>
  <c r="BA26" i="13"/>
  <c r="BA16" i="13"/>
  <c r="BA14" i="13"/>
  <c r="AZ15" i="13"/>
  <c r="AY15" i="13"/>
  <c r="AQ15" i="13"/>
  <c r="BA11" i="13"/>
  <c r="AG26" i="13"/>
  <c r="BA18" i="13"/>
  <c r="AZ14" i="13"/>
  <c r="AY14" i="13"/>
  <c r="AZ12" i="13"/>
  <c r="BA31" i="13"/>
  <c r="AI19" i="13"/>
  <c r="AI24" i="13"/>
  <c r="AI29" i="13"/>
  <c r="AI26" i="13"/>
  <c r="AI14" i="13"/>
  <c r="AI13" i="13"/>
  <c r="AI25" i="13"/>
  <c r="AI28" i="13"/>
  <c r="AI30" i="13"/>
  <c r="AI27" i="13"/>
  <c r="AI23" i="13"/>
  <c r="AI8" i="13"/>
  <c r="AI7" i="13"/>
  <c r="AS7" i="13"/>
  <c r="AS30" i="13"/>
  <c r="AS15" i="13"/>
  <c r="AS17" i="13"/>
  <c r="AS31" i="13"/>
  <c r="AS8" i="13"/>
  <c r="AS26" i="13"/>
  <c r="AS16" i="13"/>
  <c r="AS14" i="13"/>
  <c r="BB22" i="13"/>
  <c r="BB25" i="13"/>
  <c r="BB10" i="13"/>
  <c r="BB13" i="13"/>
  <c r="BB23" i="13"/>
  <c r="BB19" i="13"/>
  <c r="BB24" i="13"/>
  <c r="BB28" i="13"/>
  <c r="BB29" i="13"/>
  <c r="BB31" i="13"/>
  <c r="BB27" i="13"/>
  <c r="D34" i="13"/>
  <c r="W32" i="13"/>
  <c r="BB20" i="13"/>
  <c r="AZ7" i="13"/>
  <c r="AS20" i="13"/>
  <c r="AR7" i="13"/>
  <c r="AY12" i="13"/>
  <c r="AT22" i="13"/>
  <c r="AT25" i="13"/>
  <c r="AT28" i="13"/>
  <c r="AT29" i="13"/>
  <c r="AT10" i="13"/>
  <c r="AT13" i="13"/>
  <c r="AT23" i="13"/>
  <c r="AT19" i="13"/>
  <c r="AT24" i="13"/>
  <c r="AT27" i="13"/>
  <c r="BB17" i="13"/>
  <c r="BA28" i="13"/>
  <c r="AZ28" i="13"/>
  <c r="AT17" i="13"/>
  <c r="AS28" i="13"/>
  <c r="AR28" i="13"/>
  <c r="AK13" i="13"/>
  <c r="AI10" i="13"/>
  <c r="AY11" i="13"/>
  <c r="AK11" i="13"/>
  <c r="BB15" i="13"/>
  <c r="BA13" i="13"/>
  <c r="AZ13" i="13"/>
  <c r="AT15" i="13"/>
  <c r="AS13" i="13"/>
  <c r="AR13" i="13"/>
  <c r="AI21" i="13"/>
  <c r="AW19" i="13"/>
  <c r="AW13" i="13"/>
  <c r="AX16" i="13"/>
  <c r="AW22" i="13"/>
  <c r="AP16" i="13"/>
  <c r="AO22" i="13"/>
  <c r="AW25" i="13"/>
  <c r="AO13" i="13"/>
  <c r="AW12" i="13"/>
  <c r="AO31" i="13"/>
  <c r="AW24" i="13"/>
  <c r="AO24" i="13"/>
  <c r="AW11" i="13"/>
  <c r="AX31" i="13"/>
  <c r="AW10" i="13"/>
  <c r="AO10" i="13"/>
  <c r="AX15" i="13"/>
  <c r="AW21" i="13"/>
  <c r="AP15" i="13"/>
  <c r="AO21" i="13"/>
  <c r="AO25" i="13"/>
  <c r="AO12" i="13"/>
  <c r="AO19" i="13"/>
  <c r="AO11" i="13"/>
  <c r="AX17" i="13"/>
  <c r="AP17" i="13"/>
  <c r="AF16" i="20"/>
  <c r="AN12" i="20"/>
  <c r="AF7" i="20"/>
  <c r="AL24" i="20"/>
  <c r="AF13" i="20"/>
  <c r="AF18" i="20"/>
  <c r="AR13" i="20"/>
  <c r="AQ25" i="20"/>
  <c r="AS25" i="20"/>
  <c r="AF10" i="20"/>
  <c r="AF19" i="20"/>
  <c r="AF11" i="20"/>
  <c r="AF25" i="20"/>
  <c r="AQ13" i="20"/>
  <c r="AS13" i="20"/>
  <c r="AQ9" i="20"/>
  <c r="AF22" i="20"/>
  <c r="AQ21" i="20"/>
  <c r="AR9" i="20"/>
  <c r="AF14" i="20"/>
  <c r="AS21" i="20"/>
  <c r="AR29" i="20"/>
  <c r="AS29" i="20"/>
  <c r="AN24" i="20"/>
  <c r="AN8" i="20"/>
  <c r="AS9" i="20"/>
  <c r="AF6" i="20"/>
  <c r="AK15" i="20"/>
  <c r="AN6" i="20"/>
  <c r="AF26" i="20"/>
  <c r="AF9" i="20"/>
  <c r="AF21" i="20"/>
  <c r="AX23" i="20"/>
  <c r="AU6" i="20"/>
  <c r="AZ7" i="20"/>
  <c r="AL11" i="20"/>
  <c r="AK19" i="20"/>
  <c r="AV22" i="20"/>
  <c r="AI27" i="20"/>
  <c r="AQ27" i="20"/>
  <c r="AQ23" i="20"/>
  <c r="AQ19" i="20"/>
  <c r="AQ15" i="20"/>
  <c r="AQ11" i="20"/>
  <c r="AQ7" i="20"/>
  <c r="AQ28" i="20"/>
  <c r="AQ24" i="20"/>
  <c r="AQ20" i="20"/>
  <c r="AQ16" i="20"/>
  <c r="AQ12" i="20"/>
  <c r="AQ8" i="20"/>
  <c r="AQ29" i="20"/>
  <c r="AQ26" i="20"/>
  <c r="AQ22" i="20"/>
  <c r="AQ18" i="20"/>
  <c r="AQ14" i="20"/>
  <c r="AQ10" i="20"/>
  <c r="AQ6" i="20"/>
  <c r="AZ19" i="20"/>
  <c r="BB16" i="20"/>
  <c r="AZ27" i="20"/>
  <c r="BB24" i="20"/>
  <c r="AV6" i="20"/>
  <c r="BA7" i="20"/>
  <c r="AX12" i="20"/>
  <c r="AX19" i="20"/>
  <c r="AW22" i="20"/>
  <c r="AJ27" i="20"/>
  <c r="AR24" i="20"/>
  <c r="AR20" i="20"/>
  <c r="AR16" i="20"/>
  <c r="AR12" i="20"/>
  <c r="AR8" i="20"/>
  <c r="AR28" i="20"/>
  <c r="AR26" i="20"/>
  <c r="AR22" i="20"/>
  <c r="AR18" i="20"/>
  <c r="AR14" i="20"/>
  <c r="AR10" i="20"/>
  <c r="AR6" i="20"/>
  <c r="AR27" i="20"/>
  <c r="AR23" i="20"/>
  <c r="AR19" i="20"/>
  <c r="AR15" i="20"/>
  <c r="AR11" i="20"/>
  <c r="AR7" i="20"/>
  <c r="AY27" i="20"/>
  <c r="AV10" i="20"/>
  <c r="AI25" i="20"/>
  <c r="AI21" i="20"/>
  <c r="AI17" i="20"/>
  <c r="AI13" i="20"/>
  <c r="AI9" i="20"/>
  <c r="AI29" i="20"/>
  <c r="AI26" i="20"/>
  <c r="AI22" i="20"/>
  <c r="AI18" i="20"/>
  <c r="AI14" i="20"/>
  <c r="AI10" i="20"/>
  <c r="AI6" i="20"/>
  <c r="AI24" i="20"/>
  <c r="AI20" i="20"/>
  <c r="AI16" i="20"/>
  <c r="AI12" i="20"/>
  <c r="AI8" i="20"/>
  <c r="AI28" i="20"/>
  <c r="BB7" i="20"/>
  <c r="AJ15" i="20"/>
  <c r="AK27" i="20"/>
  <c r="AS24" i="20"/>
  <c r="AS16" i="20"/>
  <c r="AS12" i="20"/>
  <c r="AS8" i="20"/>
  <c r="AS20" i="20"/>
  <c r="AS28" i="20"/>
  <c r="AS26" i="20"/>
  <c r="AS22" i="20"/>
  <c r="AS18" i="20"/>
  <c r="AS14" i="20"/>
  <c r="AS10" i="20"/>
  <c r="AS6" i="20"/>
  <c r="AS27" i="20"/>
  <c r="AS23" i="20"/>
  <c r="AS19" i="20"/>
  <c r="AS15" i="20"/>
  <c r="AS11" i="20"/>
  <c r="AS7" i="20"/>
  <c r="AT21" i="20"/>
  <c r="AT24" i="20"/>
  <c r="AT20" i="20"/>
  <c r="AT16" i="20"/>
  <c r="AT12" i="20"/>
  <c r="AT8" i="20"/>
  <c r="AT28" i="20"/>
  <c r="AT25" i="20"/>
  <c r="AT17" i="20"/>
  <c r="AT27" i="20"/>
  <c r="AT23" i="20"/>
  <c r="AT19" i="20"/>
  <c r="AU24" i="20"/>
  <c r="AU20" i="20"/>
  <c r="AU16" i="20"/>
  <c r="AU12" i="20"/>
  <c r="AU8" i="20"/>
  <c r="AU28" i="20"/>
  <c r="AU25" i="20"/>
  <c r="AU21" i="20"/>
  <c r="AU17" i="20"/>
  <c r="AU13" i="20"/>
  <c r="AU9" i="20"/>
  <c r="AU27" i="20"/>
  <c r="AU23" i="20"/>
  <c r="AU19" i="20"/>
  <c r="AU15" i="20"/>
  <c r="AU11" i="20"/>
  <c r="AU7" i="20"/>
  <c r="AV28" i="20"/>
  <c r="AV25" i="20"/>
  <c r="AV21" i="20"/>
  <c r="AV17" i="20"/>
  <c r="AV13" i="20"/>
  <c r="AV9" i="20"/>
  <c r="AV29" i="20"/>
  <c r="AV27" i="20"/>
  <c r="AV23" i="20"/>
  <c r="AV19" i="20"/>
  <c r="AV15" i="20"/>
  <c r="AV11" i="20"/>
  <c r="AV7" i="20"/>
  <c r="AV24" i="20"/>
  <c r="AV20" i="20"/>
  <c r="AV16" i="20"/>
  <c r="AV12" i="20"/>
  <c r="AV8" i="20"/>
  <c r="AW25" i="20"/>
  <c r="AW17" i="20"/>
  <c r="AW13" i="20"/>
  <c r="AW21" i="20"/>
  <c r="AW9" i="20"/>
  <c r="AW29" i="20"/>
  <c r="AW27" i="20"/>
  <c r="AW23" i="20"/>
  <c r="AW19" i="20"/>
  <c r="AW15" i="20"/>
  <c r="AW11" i="20"/>
  <c r="AW7" i="20"/>
  <c r="AW24" i="20"/>
  <c r="AW20" i="20"/>
  <c r="AW16" i="20"/>
  <c r="AW12" i="20"/>
  <c r="AW8" i="20"/>
  <c r="AW28" i="20"/>
  <c r="AX22" i="20"/>
  <c r="AX25" i="20"/>
  <c r="AX21" i="20"/>
  <c r="AX17" i="20"/>
  <c r="AX13" i="20"/>
  <c r="AX9" i="20"/>
  <c r="AX26" i="20"/>
  <c r="AX18" i="20"/>
  <c r="AX29" i="20"/>
  <c r="AX20" i="20"/>
  <c r="AX24" i="20"/>
  <c r="AX28" i="20"/>
  <c r="AY25" i="20"/>
  <c r="AY21" i="20"/>
  <c r="AY17" i="20"/>
  <c r="AY13" i="20"/>
  <c r="AY9" i="20"/>
  <c r="AY29" i="20"/>
  <c r="AY26" i="20"/>
  <c r="AY22" i="20"/>
  <c r="AY18" i="20"/>
  <c r="AY14" i="20"/>
  <c r="AY10" i="20"/>
  <c r="AY6" i="20"/>
  <c r="AY24" i="20"/>
  <c r="AY20" i="20"/>
  <c r="AY16" i="20"/>
  <c r="AY12" i="20"/>
  <c r="AY8" i="20"/>
  <c r="AY28" i="20"/>
  <c r="AZ29" i="20"/>
  <c r="AZ26" i="20"/>
  <c r="AZ22" i="20"/>
  <c r="AZ18" i="20"/>
  <c r="AZ14" i="20"/>
  <c r="AZ10" i="20"/>
  <c r="AZ6" i="20"/>
  <c r="AZ28" i="20"/>
  <c r="AZ24" i="20"/>
  <c r="AZ20" i="20"/>
  <c r="AZ16" i="20"/>
  <c r="AZ12" i="20"/>
  <c r="AZ8" i="20"/>
  <c r="AZ25" i="20"/>
  <c r="AZ21" i="20"/>
  <c r="AZ17" i="20"/>
  <c r="AZ13" i="20"/>
  <c r="AZ9" i="20"/>
  <c r="BA29" i="20"/>
  <c r="BA26" i="20"/>
  <c r="BA18" i="20"/>
  <c r="BA14" i="20"/>
  <c r="BA6" i="20"/>
  <c r="BA22" i="20"/>
  <c r="BA10" i="20"/>
  <c r="BA24" i="20"/>
  <c r="BA20" i="20"/>
  <c r="BA16" i="20"/>
  <c r="BA12" i="20"/>
  <c r="BA8" i="20"/>
  <c r="BA28" i="20"/>
  <c r="BA25" i="20"/>
  <c r="BA21" i="20"/>
  <c r="BA17" i="20"/>
  <c r="BA13" i="20"/>
  <c r="BA9" i="20"/>
  <c r="BB23" i="20"/>
  <c r="BB26" i="20"/>
  <c r="BB22" i="20"/>
  <c r="BB18" i="20"/>
  <c r="BB14" i="20"/>
  <c r="BB10" i="20"/>
  <c r="BB6" i="20"/>
  <c r="BB27" i="20"/>
  <c r="BB19" i="20"/>
  <c r="BB28" i="20"/>
  <c r="BB21" i="20"/>
  <c r="BB17" i="20"/>
  <c r="BB25" i="20"/>
  <c r="BB29" i="20"/>
  <c r="AW10" i="20"/>
  <c r="BB11" i="20"/>
  <c r="BA27" i="20"/>
  <c r="AT26" i="20"/>
  <c r="AU26" i="20"/>
  <c r="AW14" i="20"/>
  <c r="BB15" i="20"/>
  <c r="AX14" i="20"/>
  <c r="AY23" i="20"/>
  <c r="AL23" i="20"/>
  <c r="AL26" i="20"/>
  <c r="AL22" i="20"/>
  <c r="AL18" i="20"/>
  <c r="AL14" i="20"/>
  <c r="AL10" i="20"/>
  <c r="AL6" i="20"/>
  <c r="AL27" i="20"/>
  <c r="AL19" i="20"/>
  <c r="AL28" i="20"/>
  <c r="AL21" i="20"/>
  <c r="AL17" i="20"/>
  <c r="AL25" i="20"/>
  <c r="AL29" i="20"/>
  <c r="AL7" i="20"/>
  <c r="AL12" i="20"/>
  <c r="AZ23" i="20"/>
  <c r="AM26" i="20"/>
  <c r="AM22" i="20"/>
  <c r="AM18" i="20"/>
  <c r="AM14" i="20"/>
  <c r="AM10" i="20"/>
  <c r="AM6" i="20"/>
  <c r="AM27" i="20"/>
  <c r="AM23" i="20"/>
  <c r="AM19" i="20"/>
  <c r="AM15" i="20"/>
  <c r="AM11" i="20"/>
  <c r="AM7" i="20"/>
  <c r="AM25" i="20"/>
  <c r="AM21" i="20"/>
  <c r="AM17" i="20"/>
  <c r="AM13" i="20"/>
  <c r="AM9" i="20"/>
  <c r="AM29" i="20"/>
  <c r="AT7" i="20"/>
  <c r="AX8" i="20"/>
  <c r="AI11" i="20"/>
  <c r="AM12" i="20"/>
  <c r="AT13" i="20"/>
  <c r="AR17" i="20"/>
  <c r="AO20" i="20"/>
  <c r="BA23" i="20"/>
  <c r="AN27" i="20"/>
  <c r="AN23" i="20"/>
  <c r="AN19" i="20"/>
  <c r="AN15" i="20"/>
  <c r="AN11" i="20"/>
  <c r="AN7" i="20"/>
  <c r="AN25" i="20"/>
  <c r="AN21" i="20"/>
  <c r="AN17" i="20"/>
  <c r="AN13" i="20"/>
  <c r="AN9" i="20"/>
  <c r="AN29" i="20"/>
  <c r="AN26" i="20"/>
  <c r="AN22" i="20"/>
  <c r="AN18" i="20"/>
  <c r="AN14" i="20"/>
  <c r="AN10" i="20"/>
  <c r="AT10" i="20"/>
  <c r="AY11" i="20"/>
  <c r="AX27" i="20"/>
  <c r="BA11" i="20"/>
  <c r="AT15" i="20"/>
  <c r="AT18" i="20"/>
  <c r="AW26" i="20"/>
  <c r="AX7" i="20"/>
  <c r="BB8" i="20"/>
  <c r="BB13" i="20"/>
  <c r="AI19" i="20"/>
  <c r="BB20" i="20"/>
  <c r="AT22" i="20"/>
  <c r="AO27" i="20"/>
  <c r="AO19" i="20"/>
  <c r="AO15" i="20"/>
  <c r="AO7" i="20"/>
  <c r="AO23" i="20"/>
  <c r="AO11" i="20"/>
  <c r="AO25" i="20"/>
  <c r="AO21" i="20"/>
  <c r="AO17" i="20"/>
  <c r="AO13" i="20"/>
  <c r="AO9" i="20"/>
  <c r="AO29" i="20"/>
  <c r="AO26" i="20"/>
  <c r="AO22" i="20"/>
  <c r="AO18" i="20"/>
  <c r="AO14" i="20"/>
  <c r="AO10" i="20"/>
  <c r="AO6" i="20"/>
  <c r="AX6" i="20"/>
  <c r="AU10" i="20"/>
  <c r="AZ11" i="20"/>
  <c r="AX16" i="20"/>
  <c r="W32" i="20"/>
  <c r="AX15" i="20"/>
  <c r="AU18" i="20"/>
  <c r="AT29" i="20"/>
  <c r="AX10" i="20"/>
  <c r="AT14" i="20"/>
  <c r="AY15" i="20"/>
  <c r="AV18" i="20"/>
  <c r="AU29" i="20"/>
  <c r="AW18" i="20"/>
  <c r="AI7" i="20"/>
  <c r="AT9" i="20"/>
  <c r="AV14" i="20"/>
  <c r="BA15" i="20"/>
  <c r="AJ29" i="20"/>
  <c r="AJ26" i="20"/>
  <c r="AJ22" i="20"/>
  <c r="AJ18" i="20"/>
  <c r="AJ14" i="20"/>
  <c r="AJ10" i="20"/>
  <c r="AJ6" i="20"/>
  <c r="AJ28" i="20"/>
  <c r="AJ24" i="20"/>
  <c r="AJ20" i="20"/>
  <c r="AJ16" i="20"/>
  <c r="AJ12" i="20"/>
  <c r="AJ8" i="20"/>
  <c r="AJ25" i="20"/>
  <c r="AJ21" i="20"/>
  <c r="AJ17" i="20"/>
  <c r="AJ13" i="20"/>
  <c r="AJ9" i="20"/>
  <c r="AJ7" i="20"/>
  <c r="BB9" i="20"/>
  <c r="AK29" i="20"/>
  <c r="AK26" i="20"/>
  <c r="AK14" i="20"/>
  <c r="AK6" i="20"/>
  <c r="AK22" i="20"/>
  <c r="AK18" i="20"/>
  <c r="AK10" i="20"/>
  <c r="AK24" i="20"/>
  <c r="AK20" i="20"/>
  <c r="AK16" i="20"/>
  <c r="AK12" i="20"/>
  <c r="AK8" i="20"/>
  <c r="AK28" i="20"/>
  <c r="AK25" i="20"/>
  <c r="AK21" i="20"/>
  <c r="AK17" i="20"/>
  <c r="AK13" i="20"/>
  <c r="AK9" i="20"/>
  <c r="AT6" i="20"/>
  <c r="AY7" i="20"/>
  <c r="AK11" i="20"/>
  <c r="AO12" i="20"/>
  <c r="AJ19" i="20"/>
  <c r="AU22" i="20"/>
  <c r="AR25" i="20"/>
  <c r="AP24" i="20"/>
  <c r="AP27" i="20"/>
  <c r="AP23" i="20"/>
  <c r="AP19" i="20"/>
  <c r="AP15" i="20"/>
  <c r="AP11" i="20"/>
  <c r="AP7" i="20"/>
  <c r="AP20" i="20"/>
  <c r="AP16" i="20"/>
  <c r="AP22" i="20"/>
  <c r="AP18" i="20"/>
  <c r="AP29" i="20"/>
  <c r="AP26" i="20"/>
  <c r="W30" i="20"/>
  <c r="W33" i="10"/>
  <c r="AE21" i="10"/>
  <c r="AE26" i="10"/>
  <c r="AE17" i="10"/>
  <c r="AE18" i="10"/>
  <c r="Z24" i="10"/>
  <c r="AE15" i="10"/>
  <c r="AE10" i="10"/>
  <c r="Z23" i="10"/>
  <c r="AE29" i="10"/>
  <c r="AE13" i="10"/>
  <c r="Z11" i="10"/>
  <c r="Z19" i="10"/>
  <c r="Z27" i="10"/>
  <c r="W32" i="10"/>
  <c r="Z25" i="10"/>
  <c r="Z9" i="10"/>
  <c r="W32" i="1"/>
  <c r="W31" i="1"/>
  <c r="AR27" i="19"/>
  <c r="AR31" i="19"/>
  <c r="AR22" i="19"/>
  <c r="AS31" i="19"/>
  <c r="AS16" i="19"/>
  <c r="AS25" i="19"/>
  <c r="AS33" i="19"/>
  <c r="AS12" i="19"/>
  <c r="AS22" i="19"/>
  <c r="AS23" i="19"/>
  <c r="AS14" i="19"/>
  <c r="AS30" i="19"/>
  <c r="AS21" i="19"/>
  <c r="AS34" i="19"/>
  <c r="AS13" i="19"/>
  <c r="AS15" i="19"/>
  <c r="AS26" i="19"/>
  <c r="AS27" i="19"/>
  <c r="AY15" i="19"/>
  <c r="AY21" i="19"/>
  <c r="AY7" i="19"/>
  <c r="AY34" i="19"/>
  <c r="AY24" i="19"/>
  <c r="AY32" i="19"/>
  <c r="AY16" i="19"/>
  <c r="AY22" i="19"/>
  <c r="AY13" i="19"/>
  <c r="AY26" i="19"/>
  <c r="AY35" i="19"/>
  <c r="AY28" i="19"/>
  <c r="AY18" i="19"/>
  <c r="AY8" i="19"/>
  <c r="AK19" i="19"/>
  <c r="BG32" i="19"/>
  <c r="BG30" i="19"/>
  <c r="BG34" i="19"/>
  <c r="BG26" i="19"/>
  <c r="BG13" i="19"/>
  <c r="BG15" i="19"/>
  <c r="BG7" i="19"/>
  <c r="BG23" i="19"/>
  <c r="BG25" i="19"/>
  <c r="BG37" i="19"/>
  <c r="BG11" i="19"/>
  <c r="BG16" i="19"/>
  <c r="BG19" i="19"/>
  <c r="AX17" i="19"/>
  <c r="AX33" i="19"/>
  <c r="BE24" i="19"/>
  <c r="BE13" i="19"/>
  <c r="BE26" i="19"/>
  <c r="BE29" i="19"/>
  <c r="BE23" i="19"/>
  <c r="BE15" i="19"/>
  <c r="BE16" i="19"/>
  <c r="BE14" i="19"/>
  <c r="BE11" i="19"/>
  <c r="BE18" i="19"/>
  <c r="BE17" i="19"/>
  <c r="BE9" i="19"/>
  <c r="BE25" i="19"/>
  <c r="BG33" i="19"/>
  <c r="AS37" i="19"/>
  <c r="AS9" i="19"/>
  <c r="BG27" i="19"/>
  <c r="AX9" i="19"/>
  <c r="AX12" i="19"/>
  <c r="AY27" i="19"/>
  <c r="AK11" i="19"/>
  <c r="AY9" i="19"/>
  <c r="AS29" i="19"/>
  <c r="AX27" i="19"/>
  <c r="AY30" i="19"/>
  <c r="BK35" i="19"/>
  <c r="BK18" i="19"/>
  <c r="BK8" i="19"/>
  <c r="BK24" i="19"/>
  <c r="AX29" i="19"/>
  <c r="BE37" i="19"/>
  <c r="BE31" i="19"/>
  <c r="AX30" i="19"/>
  <c r="AS24" i="19"/>
  <c r="AS17" i="19"/>
  <c r="AQ29" i="19"/>
  <c r="AQ32" i="19"/>
  <c r="AS18" i="19"/>
  <c r="AY17" i="19"/>
  <c r="AY10" i="19"/>
  <c r="AW21" i="19"/>
  <c r="AW28" i="19"/>
  <c r="AW22" i="19"/>
  <c r="AS11" i="19"/>
  <c r="AS8" i="19"/>
  <c r="AY29" i="19"/>
  <c r="AS36" i="19"/>
  <c r="AX20" i="19"/>
  <c r="AK27" i="19"/>
  <c r="AQ16" i="19"/>
  <c r="AY31" i="19"/>
  <c r="AY19" i="19"/>
  <c r="AX37" i="19"/>
  <c r="AX21" i="19"/>
  <c r="AX16" i="19"/>
  <c r="AX34" i="19"/>
  <c r="AX22" i="19"/>
  <c r="AX13" i="19"/>
  <c r="AX15" i="19"/>
  <c r="AX23" i="19"/>
  <c r="AX26" i="19"/>
  <c r="AX11" i="19"/>
  <c r="AX14" i="19"/>
  <c r="AX32" i="19"/>
  <c r="AX35" i="19"/>
  <c r="AX28" i="19"/>
  <c r="AX18" i="19"/>
  <c r="AX24" i="19"/>
  <c r="AX10" i="19"/>
  <c r="BD26" i="19"/>
  <c r="BD16" i="19"/>
  <c r="BD23" i="19"/>
  <c r="BD36" i="19"/>
  <c r="BD17" i="19"/>
  <c r="BD9" i="19"/>
  <c r="AY12" i="19"/>
  <c r="BE21" i="19"/>
  <c r="AY20" i="19"/>
  <c r="AX8" i="19"/>
  <c r="AW25" i="19"/>
  <c r="AY36" i="19"/>
  <c r="AX31" i="19"/>
  <c r="AT30" i="19"/>
  <c r="AT33" i="19"/>
  <c r="AT12" i="19"/>
  <c r="AT35" i="19"/>
  <c r="AT7" i="19"/>
  <c r="AT34" i="19"/>
  <c r="AT15" i="19"/>
  <c r="AT22" i="19"/>
  <c r="AT23" i="19"/>
  <c r="AT14" i="19"/>
  <c r="AT27" i="19"/>
  <c r="AT11" i="19"/>
  <c r="BC36" i="19"/>
  <c r="AP15" i="19"/>
  <c r="AV11" i="19"/>
  <c r="BJ19" i="19"/>
  <c r="BJ25" i="19"/>
  <c r="BJ24" i="19"/>
  <c r="AV22" i="19"/>
  <c r="BI18" i="19"/>
  <c r="BJ8" i="19"/>
  <c r="BC23" i="19"/>
  <c r="BB28" i="19"/>
  <c r="BA35" i="19"/>
  <c r="BJ18" i="19"/>
  <c r="BC26" i="19"/>
  <c r="AK33" i="19"/>
  <c r="BB35" i="19"/>
  <c r="AV21" i="19"/>
  <c r="BI11" i="19"/>
  <c r="BI14" i="19"/>
  <c r="AK16" i="19"/>
  <c r="AK10" i="19"/>
  <c r="AO33" i="19"/>
  <c r="AO25" i="19"/>
  <c r="AU10" i="19"/>
  <c r="BH22" i="19"/>
  <c r="AK36" i="19"/>
  <c r="AK37" i="19"/>
  <c r="BI30" i="19"/>
  <c r="BJ11" i="19"/>
  <c r="BJ14" i="19"/>
  <c r="BH15" i="19"/>
  <c r="AK20" i="19"/>
  <c r="AO19" i="19"/>
  <c r="BI22" i="19"/>
  <c r="AK29" i="19"/>
  <c r="AO37" i="19"/>
  <c r="AQ24" i="19"/>
  <c r="BF25" i="19"/>
  <c r="AV36" i="19"/>
  <c r="AV13" i="19"/>
  <c r="AV30" i="19"/>
  <c r="AV16" i="19"/>
  <c r="AV29" i="19"/>
  <c r="AV26" i="19"/>
  <c r="AV17" i="19"/>
  <c r="AV31" i="19"/>
  <c r="AV15" i="19"/>
  <c r="AV32" i="19"/>
  <c r="AV14" i="19"/>
  <c r="AV37" i="19"/>
  <c r="AV19" i="19"/>
  <c r="AV33" i="19"/>
  <c r="AV23" i="19"/>
  <c r="AV27" i="19"/>
  <c r="AV34" i="19"/>
  <c r="AV9" i="19"/>
  <c r="AV8" i="19"/>
  <c r="AV20" i="19"/>
  <c r="AP34" i="19"/>
  <c r="AP22" i="19"/>
  <c r="AP27" i="19"/>
  <c r="AP8" i="19"/>
  <c r="AP12" i="19"/>
  <c r="AP35" i="19"/>
  <c r="AP20" i="19"/>
  <c r="AP28" i="19"/>
  <c r="AP10" i="19"/>
  <c r="AP9" i="19"/>
  <c r="AP21" i="19"/>
  <c r="AP36" i="19"/>
  <c r="AP14" i="19"/>
  <c r="AP23" i="19"/>
  <c r="AP25" i="19"/>
  <c r="AP11" i="19"/>
  <c r="AP13" i="19"/>
  <c r="AR24" i="19"/>
  <c r="AQ18" i="19"/>
  <c r="AP33" i="19"/>
  <c r="BA7" i="19"/>
  <c r="BL13" i="19"/>
  <c r="BL30" i="19"/>
  <c r="BL16" i="19"/>
  <c r="BL36" i="19"/>
  <c r="BL29" i="19"/>
  <c r="BL26" i="19"/>
  <c r="BL17" i="19"/>
  <c r="BL31" i="19"/>
  <c r="BL15" i="19"/>
  <c r="BL32" i="19"/>
  <c r="BL14" i="19"/>
  <c r="BL37" i="19"/>
  <c r="BL19" i="19"/>
  <c r="BL33" i="19"/>
  <c r="BL23" i="19"/>
  <c r="BL12" i="19"/>
  <c r="BL22" i="19"/>
  <c r="BL7" i="19"/>
  <c r="BL28" i="19"/>
  <c r="BL25" i="19"/>
  <c r="BL11" i="19"/>
  <c r="BL9" i="19"/>
  <c r="AR7" i="19"/>
  <c r="AR32" i="19"/>
  <c r="AR12" i="19"/>
  <c r="AR35" i="19"/>
  <c r="AR20" i="19"/>
  <c r="AR28" i="19"/>
  <c r="AR10" i="19"/>
  <c r="AR9" i="19"/>
  <c r="AR21" i="19"/>
  <c r="AR36" i="19"/>
  <c r="AR13" i="19"/>
  <c r="AR29" i="19"/>
  <c r="AR14" i="19"/>
  <c r="AR30" i="19"/>
  <c r="AR23" i="19"/>
  <c r="AR25" i="19"/>
  <c r="AR11" i="19"/>
  <c r="AR26" i="19"/>
  <c r="AR8" i="19"/>
  <c r="AR15" i="19"/>
  <c r="BL24" i="19"/>
  <c r="BF36" i="19"/>
  <c r="BD25" i="19"/>
  <c r="BD18" i="19"/>
  <c r="BD28" i="19"/>
  <c r="BD24" i="19"/>
  <c r="BD34" i="19"/>
  <c r="BD22" i="19"/>
  <c r="BD8" i="19"/>
  <c r="BD7" i="19"/>
  <c r="BD27" i="19"/>
  <c r="BD12" i="19"/>
  <c r="BD35" i="19"/>
  <c r="BD20" i="19"/>
  <c r="BD10" i="19"/>
  <c r="BD19" i="19"/>
  <c r="BD33" i="19"/>
  <c r="BD21" i="19"/>
  <c r="BD32" i="19"/>
  <c r="BD29" i="19"/>
  <c r="BC35" i="19"/>
  <c r="BC7" i="19"/>
  <c r="BC25" i="19"/>
  <c r="BC18" i="19"/>
  <c r="BC24" i="19"/>
  <c r="BC27" i="19"/>
  <c r="BC34" i="19"/>
  <c r="BC22" i="19"/>
  <c r="BC8" i="19"/>
  <c r="BC12" i="19"/>
  <c r="BC10" i="19"/>
  <c r="BC19" i="19"/>
  <c r="BC32" i="19"/>
  <c r="BC33" i="19"/>
  <c r="BC21" i="19"/>
  <c r="BC16" i="19"/>
  <c r="BC29" i="19"/>
  <c r="BC28" i="19"/>
  <c r="BC17" i="19"/>
  <c r="BB33" i="19"/>
  <c r="BB23" i="19"/>
  <c r="BB11" i="19"/>
  <c r="BB27" i="19"/>
  <c r="BB25" i="19"/>
  <c r="BB18" i="19"/>
  <c r="BB24" i="19"/>
  <c r="BB34" i="19"/>
  <c r="BB22" i="19"/>
  <c r="BB8" i="19"/>
  <c r="BB26" i="19"/>
  <c r="BB20" i="19"/>
  <c r="BB15" i="19"/>
  <c r="BB32" i="19"/>
  <c r="BB10" i="19"/>
  <c r="BB19" i="19"/>
  <c r="BB16" i="19"/>
  <c r="BB21" i="19"/>
  <c r="BB30" i="19"/>
  <c r="BC20" i="19"/>
  <c r="AQ19" i="19"/>
  <c r="AV35" i="19"/>
  <c r="BB31" i="19"/>
  <c r="AR16" i="19"/>
  <c r="BK9" i="19"/>
  <c r="BK21" i="19"/>
  <c r="BK37" i="19"/>
  <c r="BK30" i="19"/>
  <c r="BK16" i="19"/>
  <c r="BK31" i="19"/>
  <c r="BK13" i="19"/>
  <c r="BK32" i="19"/>
  <c r="BK36" i="19"/>
  <c r="BK29" i="19"/>
  <c r="BK26" i="19"/>
  <c r="BK17" i="19"/>
  <c r="BK15" i="19"/>
  <c r="BK14" i="19"/>
  <c r="BK12" i="19"/>
  <c r="BK22" i="19"/>
  <c r="BK28" i="19"/>
  <c r="BK25" i="19"/>
  <c r="BK11" i="19"/>
  <c r="BK23" i="19"/>
  <c r="BL18" i="19"/>
  <c r="BF19" i="19"/>
  <c r="BL35" i="19"/>
  <c r="AW36" i="19"/>
  <c r="AW13" i="19"/>
  <c r="AW29" i="19"/>
  <c r="AW26" i="19"/>
  <c r="AW17" i="19"/>
  <c r="AW15" i="19"/>
  <c r="AW30" i="19"/>
  <c r="AW16" i="19"/>
  <c r="AW14" i="19"/>
  <c r="AW33" i="19"/>
  <c r="AW31" i="19"/>
  <c r="AW37" i="19"/>
  <c r="AW19" i="19"/>
  <c r="AW32" i="19"/>
  <c r="AW23" i="19"/>
  <c r="AW11" i="19"/>
  <c r="AW9" i="19"/>
  <c r="AW27" i="19"/>
  <c r="AW8" i="19"/>
  <c r="AW18" i="19"/>
  <c r="AW24" i="19"/>
  <c r="BL34" i="19"/>
  <c r="AW20" i="19"/>
  <c r="AR18" i="19"/>
  <c r="BK19" i="19"/>
  <c r="AQ33" i="19"/>
  <c r="AQ27" i="19"/>
  <c r="BD13" i="19"/>
  <c r="AP19" i="19"/>
  <c r="AR34" i="19"/>
  <c r="AR37" i="19"/>
  <c r="BF15" i="19"/>
  <c r="BF13" i="19"/>
  <c r="AV18" i="19"/>
  <c r="AR19" i="19"/>
  <c r="AP26" i="19"/>
  <c r="AW35" i="19"/>
  <c r="BL27" i="19"/>
  <c r="BF16" i="19"/>
  <c r="BF34" i="19"/>
  <c r="BF22" i="19"/>
  <c r="BF27" i="19"/>
  <c r="BF8" i="19"/>
  <c r="BF12" i="19"/>
  <c r="BF20" i="19"/>
  <c r="BF35" i="19"/>
  <c r="BF28" i="19"/>
  <c r="BF10" i="19"/>
  <c r="BF9" i="19"/>
  <c r="BF21" i="19"/>
  <c r="BF31" i="19"/>
  <c r="BF29" i="19"/>
  <c r="BF7" i="19"/>
  <c r="BF18" i="19"/>
  <c r="BF17" i="19"/>
  <c r="BF24" i="19"/>
  <c r="BF37" i="19"/>
  <c r="BF33" i="19"/>
  <c r="BL8" i="19"/>
  <c r="AQ8" i="19"/>
  <c r="AQ12" i="19"/>
  <c r="AQ35" i="19"/>
  <c r="AQ20" i="19"/>
  <c r="AQ28" i="19"/>
  <c r="AQ10" i="19"/>
  <c r="AQ9" i="19"/>
  <c r="AQ21" i="19"/>
  <c r="AQ36" i="19"/>
  <c r="AQ30" i="19"/>
  <c r="AQ14" i="19"/>
  <c r="AQ23" i="19"/>
  <c r="AQ25" i="19"/>
  <c r="AQ11" i="19"/>
  <c r="AQ31" i="19"/>
  <c r="AQ13" i="19"/>
  <c r="BF26" i="19"/>
  <c r="BF23" i="19"/>
  <c r="BK33" i="19"/>
  <c r="BK34" i="19"/>
  <c r="AB38" i="19"/>
  <c r="AQ15" i="19"/>
  <c r="BK10" i="19"/>
  <c r="BB13" i="19"/>
  <c r="BA37" i="19"/>
  <c r="BA19" i="19"/>
  <c r="BA27" i="19"/>
  <c r="BA33" i="19"/>
  <c r="BA23" i="19"/>
  <c r="BA11" i="19"/>
  <c r="BA25" i="19"/>
  <c r="BA18" i="19"/>
  <c r="BA34" i="19"/>
  <c r="BA24" i="19"/>
  <c r="BA22" i="19"/>
  <c r="BA32" i="19"/>
  <c r="BA13" i="19"/>
  <c r="BA26" i="19"/>
  <c r="BA20" i="19"/>
  <c r="BA15" i="19"/>
  <c r="BA16" i="19"/>
  <c r="BA10" i="19"/>
  <c r="BA29" i="19"/>
  <c r="BA28" i="19"/>
  <c r="BC15" i="19"/>
  <c r="BC13" i="19"/>
  <c r="BB14" i="19"/>
  <c r="AR33" i="19"/>
  <c r="AQ34" i="19"/>
  <c r="AQ37" i="19"/>
  <c r="BD31" i="19"/>
  <c r="BH7" i="19"/>
  <c r="BH32" i="19"/>
  <c r="BH12" i="19"/>
  <c r="BH36" i="19"/>
  <c r="BH29" i="19"/>
  <c r="BH20" i="19"/>
  <c r="BH35" i="19"/>
  <c r="BH28" i="19"/>
  <c r="BH10" i="19"/>
  <c r="BH9" i="19"/>
  <c r="BH21" i="19"/>
  <c r="BH13" i="19"/>
  <c r="BH18" i="19"/>
  <c r="BH17" i="19"/>
  <c r="BH24" i="19"/>
  <c r="BH31" i="19"/>
  <c r="BH37" i="19"/>
  <c r="BH25" i="19"/>
  <c r="BH11" i="19"/>
  <c r="BD15" i="19"/>
  <c r="BC11" i="19"/>
  <c r="BC14" i="19"/>
  <c r="AQ17" i="19"/>
  <c r="AK25" i="19"/>
  <c r="BH16" i="19"/>
  <c r="BF32" i="19"/>
  <c r="BC31" i="19"/>
  <c r="BH30" i="19"/>
  <c r="BA21" i="19"/>
  <c r="BD11" i="19"/>
  <c r="AV24" i="19"/>
  <c r="BD14" i="19"/>
  <c r="AR17" i="19"/>
  <c r="BF11" i="19"/>
  <c r="BK20" i="19"/>
  <c r="BF14" i="19"/>
  <c r="BA9" i="19"/>
  <c r="AQ26" i="19"/>
  <c r="AQ22" i="19"/>
  <c r="AW34" i="19"/>
  <c r="BA36" i="19"/>
  <c r="BB37" i="19"/>
  <c r="BK27" i="19"/>
  <c r="BG14" i="19"/>
  <c r="AZ12" i="19"/>
  <c r="BG22" i="19"/>
  <c r="BG36" i="19"/>
  <c r="AC38" i="19"/>
  <c r="AK7" i="19"/>
  <c r="AB40" i="19"/>
  <c r="BG8" i="19"/>
  <c r="BG12" i="19"/>
  <c r="BG20" i="19"/>
  <c r="BG35" i="19"/>
  <c r="BG28" i="19"/>
  <c r="BG10" i="19"/>
  <c r="BG9" i="19"/>
  <c r="BG21" i="19"/>
  <c r="AU9" i="19"/>
  <c r="AU21" i="19"/>
  <c r="AU37" i="19"/>
  <c r="AU30" i="19"/>
  <c r="AU16" i="19"/>
  <c r="AU31" i="19"/>
  <c r="AU36" i="19"/>
  <c r="AU13" i="19"/>
  <c r="AU32" i="19"/>
  <c r="AU29" i="19"/>
  <c r="AU26" i="19"/>
  <c r="AU17" i="19"/>
  <c r="AU15" i="19"/>
  <c r="AU14" i="19"/>
  <c r="AZ15" i="19"/>
  <c r="BG24" i="19"/>
  <c r="AZ20" i="19"/>
  <c r="BG17" i="19"/>
  <c r="AZ26" i="19"/>
  <c r="AN10" i="19"/>
  <c r="AN24" i="19"/>
  <c r="AN29" i="19"/>
  <c r="AN33" i="19"/>
  <c r="AN8" i="19"/>
  <c r="AN12" i="19"/>
  <c r="AN7" i="19"/>
  <c r="AN27" i="19"/>
  <c r="AN11" i="19"/>
  <c r="AN15" i="19"/>
  <c r="AN17" i="19"/>
  <c r="AN28" i="19"/>
  <c r="BG18" i="19"/>
  <c r="AU34" i="19"/>
  <c r="BG31" i="19"/>
  <c r="AZ27" i="19"/>
  <c r="AZ14" i="19"/>
  <c r="AZ30" i="19"/>
  <c r="AZ16" i="19"/>
  <c r="AZ37" i="19"/>
  <c r="AZ19" i="19"/>
  <c r="AZ33" i="19"/>
  <c r="AZ23" i="19"/>
  <c r="AZ11" i="19"/>
  <c r="AZ25" i="19"/>
  <c r="AZ18" i="19"/>
  <c r="AZ24" i="19"/>
  <c r="AZ34" i="19"/>
  <c r="AZ22" i="19"/>
  <c r="BG29" i="19"/>
  <c r="AU35" i="19"/>
  <c r="BJ15" i="19"/>
  <c r="AO10" i="19"/>
  <c r="BE10" i="19"/>
  <c r="BE27" i="19"/>
  <c r="AO27" i="19"/>
  <c r="AO20" i="19"/>
  <c r="BE20" i="19"/>
  <c r="AT17" i="19"/>
  <c r="BJ17" i="19"/>
  <c r="AT26" i="19"/>
  <c r="BJ26" i="19"/>
  <c r="AT29" i="19"/>
  <c r="BJ29" i="19"/>
  <c r="AO35" i="19"/>
  <c r="BJ36" i="19"/>
  <c r="AO28" i="19"/>
  <c r="BE28" i="19"/>
  <c r="AY11" i="19"/>
  <c r="AT13" i="19"/>
  <c r="BJ13" i="19"/>
  <c r="AO12" i="19"/>
  <c r="BE12" i="19"/>
  <c r="AY23" i="19"/>
  <c r="AY33" i="19"/>
  <c r="AT36" i="19"/>
  <c r="BI7" i="19"/>
  <c r="AS7" i="19"/>
  <c r="AO8" i="19"/>
  <c r="BE8" i="19"/>
  <c r="AY37" i="19"/>
  <c r="BJ32" i="19"/>
  <c r="AT32" i="19"/>
  <c r="AT21" i="19"/>
  <c r="BJ21" i="19"/>
  <c r="AY14" i="19"/>
  <c r="AT9" i="19"/>
  <c r="BJ9" i="19"/>
  <c r="AS10" i="19"/>
  <c r="BI10" i="19"/>
  <c r="AO22" i="19"/>
  <c r="BE22" i="19"/>
  <c r="AS28" i="19"/>
  <c r="BI28" i="19"/>
  <c r="AO34" i="19"/>
  <c r="BE34" i="19"/>
  <c r="BI35" i="19"/>
  <c r="BI32" i="19"/>
  <c r="AS32" i="19"/>
  <c r="BJ31" i="19"/>
  <c r="AT31" i="19"/>
  <c r="BE36" i="19"/>
  <c r="BE35" i="19"/>
  <c r="AS20" i="19"/>
  <c r="BI20" i="19"/>
  <c r="AK22" i="19"/>
  <c r="AT10" i="19"/>
  <c r="BJ10" i="19"/>
  <c r="AT28" i="19"/>
  <c r="BJ28" i="19"/>
  <c r="AS35" i="19"/>
  <c r="BJ35" i="19"/>
  <c r="BJ16" i="19"/>
  <c r="AT16" i="19"/>
  <c r="BD26" i="18"/>
  <c r="BD12" i="18"/>
  <c r="BD14" i="18"/>
  <c r="BD29" i="18"/>
  <c r="BD15" i="18"/>
  <c r="BD30" i="18"/>
  <c r="BD7" i="18"/>
  <c r="BD31" i="18"/>
  <c r="BD21" i="18"/>
  <c r="BD20" i="18"/>
  <c r="BD9" i="18"/>
  <c r="BD34" i="18"/>
  <c r="BD24" i="18"/>
  <c r="BD28" i="18"/>
  <c r="BD33" i="18"/>
  <c r="BD8" i="18"/>
  <c r="BD10" i="18"/>
  <c r="BD32" i="18"/>
  <c r="BD22" i="18"/>
  <c r="BD17" i="18"/>
  <c r="BD39" i="18"/>
  <c r="BD36" i="18"/>
  <c r="BD16" i="18"/>
  <c r="BD13" i="18"/>
  <c r="BD37" i="18"/>
  <c r="BD18" i="18"/>
  <c r="BD25" i="18"/>
  <c r="BD35" i="18"/>
  <c r="BD23" i="18"/>
  <c r="BD38" i="18"/>
  <c r="BD27" i="18"/>
  <c r="AR30" i="18"/>
  <c r="AR19" i="18"/>
  <c r="AR27" i="18"/>
  <c r="AR28" i="18"/>
  <c r="AR11" i="18"/>
  <c r="AR16" i="18"/>
  <c r="AT34" i="18"/>
  <c r="AT30" i="18"/>
  <c r="AT20" i="18"/>
  <c r="AT35" i="18"/>
  <c r="AT27" i="18"/>
  <c r="AT22" i="18"/>
  <c r="AT28" i="18"/>
  <c r="AT25" i="18"/>
  <c r="BH26" i="18"/>
  <c r="BH13" i="18"/>
  <c r="BH30" i="18"/>
  <c r="BH11" i="18"/>
  <c r="BH37" i="18"/>
  <c r="AW16" i="18"/>
  <c r="AW21" i="18"/>
  <c r="AW14" i="18"/>
  <c r="AW12" i="18"/>
  <c r="AW24" i="18"/>
  <c r="AW34" i="18"/>
  <c r="AW33" i="18"/>
  <c r="AW26" i="18"/>
  <c r="AW38" i="18"/>
  <c r="AW29" i="18"/>
  <c r="AW11" i="18"/>
  <c r="AW35" i="18"/>
  <c r="AW19" i="18"/>
  <c r="AW37" i="18"/>
  <c r="AW32" i="18"/>
  <c r="AW13" i="18"/>
  <c r="AW30" i="18"/>
  <c r="AW25" i="18"/>
  <c r="AW31" i="18"/>
  <c r="BK28" i="18"/>
  <c r="BK11" i="18"/>
  <c r="BK10" i="18"/>
  <c r="BK7" i="18"/>
  <c r="BK17" i="18"/>
  <c r="BK25" i="18"/>
  <c r="BK22" i="18"/>
  <c r="BK23" i="18"/>
  <c r="BK24" i="18"/>
  <c r="AN35" i="18"/>
  <c r="AN27" i="18"/>
  <c r="AN28" i="18"/>
  <c r="AN32" i="18"/>
  <c r="AN19" i="18"/>
  <c r="AN18" i="18"/>
  <c r="AN11" i="18"/>
  <c r="AN15" i="18"/>
  <c r="AN21" i="18"/>
  <c r="AN31" i="18"/>
  <c r="AN7" i="18"/>
  <c r="AN14" i="18"/>
  <c r="AN17" i="18"/>
  <c r="AN8" i="18"/>
  <c r="AN12" i="18"/>
  <c r="AN16" i="18"/>
  <c r="BE34" i="18"/>
  <c r="AK11" i="18"/>
  <c r="AK32" i="18"/>
  <c r="BJ29" i="18"/>
  <c r="AZ9" i="18"/>
  <c r="AU26" i="18"/>
  <c r="BE30" i="18"/>
  <c r="AX34" i="18"/>
  <c r="AZ21" i="18"/>
  <c r="AO17" i="18"/>
  <c r="AK12" i="18"/>
  <c r="AO33" i="18"/>
  <c r="BE12" i="18"/>
  <c r="BE35" i="18"/>
  <c r="BE32" i="18"/>
  <c r="BE29" i="18"/>
  <c r="AO10" i="18"/>
  <c r="AZ30" i="18"/>
  <c r="BE11" i="18"/>
  <c r="BA8" i="18"/>
  <c r="AQ32" i="18"/>
  <c r="AZ28" i="18"/>
  <c r="BE21" i="18"/>
  <c r="BE17" i="18"/>
  <c r="AY12" i="18"/>
  <c r="BE22" i="18"/>
  <c r="AO15" i="18"/>
  <c r="AO7" i="18"/>
  <c r="BL31" i="18"/>
  <c r="BE13" i="18"/>
  <c r="AU38" i="18"/>
  <c r="BE19" i="18"/>
  <c r="BE26" i="18"/>
  <c r="BE31" i="18"/>
  <c r="AY34" i="18"/>
  <c r="AY21" i="18"/>
  <c r="BE20" i="18"/>
  <c r="AK29" i="18"/>
  <c r="AO12" i="18"/>
  <c r="AY8" i="18"/>
  <c r="BE36" i="18"/>
  <c r="BE38" i="18"/>
  <c r="AQ29" i="18"/>
  <c r="AZ27" i="18"/>
  <c r="BJ15" i="18"/>
  <c r="AQ15" i="18"/>
  <c r="BE10" i="18"/>
  <c r="BE8" i="18"/>
  <c r="BE33" i="18"/>
  <c r="AQ28" i="18"/>
  <c r="BJ18" i="18"/>
  <c r="AK13" i="18"/>
  <c r="AK9" i="18"/>
  <c r="AX24" i="18"/>
  <c r="BE7" i="18"/>
  <c r="AQ27" i="18"/>
  <c r="AV23" i="18"/>
  <c r="BE15" i="18"/>
  <c r="AK19" i="18"/>
  <c r="BA24" i="18"/>
  <c r="AK26" i="18"/>
  <c r="BB25" i="18"/>
  <c r="BB34" i="18"/>
  <c r="BB18" i="18"/>
  <c r="BB9" i="18"/>
  <c r="BB23" i="18"/>
  <c r="BB33" i="18"/>
  <c r="BB12" i="18"/>
  <c r="BB21" i="18"/>
  <c r="BB38" i="18"/>
  <c r="BB39" i="18"/>
  <c r="BB16" i="18"/>
  <c r="BB29" i="18"/>
  <c r="BB22" i="18"/>
  <c r="BB20" i="18"/>
  <c r="BB31" i="18"/>
  <c r="BB19" i="18"/>
  <c r="BB32" i="18"/>
  <c r="BB26" i="18"/>
  <c r="BB11" i="18"/>
  <c r="BB13" i="18"/>
  <c r="BB37" i="18"/>
  <c r="BB10" i="18"/>
  <c r="BB27" i="18"/>
  <c r="BB28" i="18"/>
  <c r="BB7" i="18"/>
  <c r="BB15" i="18"/>
  <c r="BB36" i="18"/>
  <c r="BB17" i="18"/>
  <c r="BB14" i="18"/>
  <c r="BB30" i="18"/>
  <c r="BB24" i="18"/>
  <c r="BB8" i="18"/>
  <c r="BB35" i="18"/>
  <c r="AU8" i="18"/>
  <c r="AU10" i="18"/>
  <c r="AU15" i="18"/>
  <c r="AU17" i="18"/>
  <c r="AU39" i="18"/>
  <c r="AU37" i="18"/>
  <c r="AU27" i="18"/>
  <c r="AU16" i="18"/>
  <c r="AU28" i="18"/>
  <c r="AU35" i="18"/>
  <c r="AU25" i="18"/>
  <c r="AU36" i="18"/>
  <c r="AU7" i="18"/>
  <c r="AU33" i="18"/>
  <c r="AU12" i="18"/>
  <c r="AU21" i="18"/>
  <c r="BF37" i="18"/>
  <c r="BG37" i="18"/>
  <c r="BG26" i="18"/>
  <c r="AX22" i="18"/>
  <c r="AX20" i="18"/>
  <c r="AX26" i="18"/>
  <c r="AX19" i="18"/>
  <c r="AX11" i="18"/>
  <c r="AX13" i="18"/>
  <c r="AX18" i="18"/>
  <c r="AX9" i="18"/>
  <c r="AX23" i="18"/>
  <c r="AX38" i="18"/>
  <c r="AX39" i="18"/>
  <c r="AX33" i="18"/>
  <c r="AX12" i="18"/>
  <c r="AX21" i="18"/>
  <c r="AX35" i="18"/>
  <c r="AX29" i="18"/>
  <c r="AX8" i="18"/>
  <c r="AX10" i="18"/>
  <c r="AX15" i="18"/>
  <c r="AX17" i="18"/>
  <c r="AX31" i="18"/>
  <c r="AX37" i="18"/>
  <c r="AX32" i="18"/>
  <c r="AX16" i="18"/>
  <c r="BH27" i="18"/>
  <c r="BF22" i="18"/>
  <c r="AU19" i="18"/>
  <c r="BF8" i="18"/>
  <c r="AY22" i="18"/>
  <c r="AY20" i="18"/>
  <c r="AY39" i="18"/>
  <c r="AY27" i="18"/>
  <c r="AY26" i="18"/>
  <c r="AY19" i="18"/>
  <c r="AY11" i="18"/>
  <c r="AY13" i="18"/>
  <c r="AY28" i="18"/>
  <c r="AY24" i="18"/>
  <c r="AY14" i="18"/>
  <c r="AY37" i="18"/>
  <c r="AY35" i="18"/>
  <c r="AY16" i="18"/>
  <c r="BG32" i="18"/>
  <c r="BA29" i="18"/>
  <c r="BK13" i="18"/>
  <c r="BK35" i="18"/>
  <c r="AU34" i="18"/>
  <c r="AX25" i="18"/>
  <c r="AY10" i="18"/>
  <c r="AV19" i="18"/>
  <c r="BG8" i="18"/>
  <c r="AZ26" i="18"/>
  <c r="AZ19" i="18"/>
  <c r="AZ11" i="18"/>
  <c r="AZ13" i="18"/>
  <c r="AZ25" i="18"/>
  <c r="AZ24" i="18"/>
  <c r="AZ14" i="18"/>
  <c r="AZ38" i="18"/>
  <c r="AZ39" i="18"/>
  <c r="AZ36" i="18"/>
  <c r="AZ7" i="18"/>
  <c r="AZ8" i="18"/>
  <c r="AZ10" i="18"/>
  <c r="AZ15" i="18"/>
  <c r="AZ17" i="18"/>
  <c r="AZ29" i="18"/>
  <c r="AZ16" i="18"/>
  <c r="AZ31" i="18"/>
  <c r="AZ22" i="18"/>
  <c r="AZ20" i="18"/>
  <c r="AZ34" i="18"/>
  <c r="AZ32" i="18"/>
  <c r="BJ34" i="18"/>
  <c r="BJ12" i="18"/>
  <c r="BJ39" i="18"/>
  <c r="BJ35" i="18"/>
  <c r="BJ13" i="18"/>
  <c r="BJ27" i="18"/>
  <c r="BJ37" i="18"/>
  <c r="BJ10" i="18"/>
  <c r="BJ28" i="18"/>
  <c r="BJ11" i="18"/>
  <c r="BJ21" i="18"/>
  <c r="BJ22" i="18"/>
  <c r="BJ20" i="18"/>
  <c r="BJ17" i="18"/>
  <c r="BJ9" i="18"/>
  <c r="BJ24" i="18"/>
  <c r="BJ19" i="18"/>
  <c r="BJ36" i="18"/>
  <c r="BJ8" i="18"/>
  <c r="BJ33" i="18"/>
  <c r="BG31" i="18"/>
  <c r="BA38" i="18"/>
  <c r="BK19" i="18"/>
  <c r="BH35" i="18"/>
  <c r="BF20" i="18"/>
  <c r="BA16" i="18"/>
  <c r="AY25" i="18"/>
  <c r="BA10" i="18"/>
  <c r="BK20" i="18"/>
  <c r="BF34" i="18"/>
  <c r="BG25" i="18"/>
  <c r="AV18" i="18"/>
  <c r="BG19" i="18"/>
  <c r="AB42" i="18"/>
  <c r="AK8" i="18"/>
  <c r="AQ24" i="18"/>
  <c r="AQ14" i="18"/>
  <c r="AQ36" i="18"/>
  <c r="AQ7" i="18"/>
  <c r="AQ33" i="18"/>
  <c r="AQ12" i="18"/>
  <c r="AQ21" i="18"/>
  <c r="AQ30" i="18"/>
  <c r="AQ31" i="18"/>
  <c r="AQ22" i="18"/>
  <c r="AQ20" i="18"/>
  <c r="AQ18" i="18"/>
  <c r="AQ9" i="18"/>
  <c r="AQ23" i="18"/>
  <c r="AQ34" i="18"/>
  <c r="AK39" i="18"/>
  <c r="BG38" i="18"/>
  <c r="AV27" i="18"/>
  <c r="BK21" i="18"/>
  <c r="AX14" i="18"/>
  <c r="BG16" i="18"/>
  <c r="AU11" i="18"/>
  <c r="AY18" i="18"/>
  <c r="BH19" i="18"/>
  <c r="AV7" i="18"/>
  <c r="AR36" i="18"/>
  <c r="AR7" i="18"/>
  <c r="AR34" i="18"/>
  <c r="AR33" i="18"/>
  <c r="AR12" i="18"/>
  <c r="AR21" i="18"/>
  <c r="AR35" i="18"/>
  <c r="AR8" i="18"/>
  <c r="AR10" i="18"/>
  <c r="AR15" i="18"/>
  <c r="AR17" i="18"/>
  <c r="AR22" i="18"/>
  <c r="AR20" i="18"/>
  <c r="AR38" i="18"/>
  <c r="AR39" i="18"/>
  <c r="AR25" i="18"/>
  <c r="AR29" i="18"/>
  <c r="AR18" i="18"/>
  <c r="AR9" i="18"/>
  <c r="AR23" i="18"/>
  <c r="AR31" i="18"/>
  <c r="AR32" i="18"/>
  <c r="AR24" i="18"/>
  <c r="AR14" i="18"/>
  <c r="BK30" i="18"/>
  <c r="BF30" i="18"/>
  <c r="AY32" i="18"/>
  <c r="AU32" i="18"/>
  <c r="BJ26" i="18"/>
  <c r="AR13" i="18"/>
  <c r="BA14" i="18"/>
  <c r="BH16" i="18"/>
  <c r="AY15" i="18"/>
  <c r="AV11" i="18"/>
  <c r="AZ18" i="18"/>
  <c r="BF10" i="18"/>
  <c r="AX7" i="18"/>
  <c r="AR37" i="18"/>
  <c r="BC25" i="18"/>
  <c r="BC39" i="18"/>
  <c r="BC27" i="18"/>
  <c r="BC18" i="18"/>
  <c r="BC9" i="18"/>
  <c r="BC23" i="18"/>
  <c r="BC28" i="18"/>
  <c r="BC8" i="18"/>
  <c r="BC10" i="18"/>
  <c r="BC15" i="18"/>
  <c r="BC17" i="18"/>
  <c r="BC26" i="18"/>
  <c r="BC19" i="18"/>
  <c r="BC11" i="18"/>
  <c r="BC13" i="18"/>
  <c r="AY31" i="18"/>
  <c r="AU31" i="18"/>
  <c r="BJ16" i="18"/>
  <c r="AU13" i="18"/>
  <c r="BA15" i="18"/>
  <c r="AY7" i="18"/>
  <c r="AS33" i="18"/>
  <c r="AS12" i="18"/>
  <c r="AS21" i="18"/>
  <c r="AS39" i="18"/>
  <c r="AS27" i="18"/>
  <c r="AS8" i="18"/>
  <c r="AS10" i="18"/>
  <c r="AS15" i="18"/>
  <c r="AS17" i="18"/>
  <c r="AS34" i="18"/>
  <c r="AS28" i="18"/>
  <c r="AS37" i="18"/>
  <c r="AS26" i="18"/>
  <c r="AS19" i="18"/>
  <c r="AS11" i="18"/>
  <c r="AS13" i="18"/>
  <c r="AS24" i="18"/>
  <c r="AS14" i="18"/>
  <c r="AS36" i="18"/>
  <c r="AS7" i="18"/>
  <c r="AK16" i="18"/>
  <c r="AU24" i="18"/>
  <c r="AU22" i="18"/>
  <c r="AV37" i="18"/>
  <c r="AV16" i="18"/>
  <c r="AV22" i="18"/>
  <c r="AV20" i="18"/>
  <c r="AV25" i="18"/>
  <c r="AV38" i="18"/>
  <c r="AV39" i="18"/>
  <c r="AV24" i="18"/>
  <c r="AV14" i="18"/>
  <c r="AV29" i="18"/>
  <c r="AV33" i="18"/>
  <c r="AV12" i="18"/>
  <c r="AV21" i="18"/>
  <c r="AV31" i="18"/>
  <c r="AV8" i="18"/>
  <c r="AV15" i="18"/>
  <c r="AV17" i="18"/>
  <c r="AV32" i="18"/>
  <c r="AV10" i="18"/>
  <c r="BG24" i="18"/>
  <c r="BG14" i="18"/>
  <c r="BG39" i="18"/>
  <c r="BG36" i="18"/>
  <c r="BG7" i="18"/>
  <c r="BG27" i="18"/>
  <c r="BG33" i="18"/>
  <c r="BG12" i="18"/>
  <c r="BG21" i="18"/>
  <c r="BG28" i="18"/>
  <c r="BG22" i="18"/>
  <c r="BG20" i="18"/>
  <c r="BG35" i="18"/>
  <c r="BG18" i="18"/>
  <c r="BG9" i="18"/>
  <c r="BG23" i="18"/>
  <c r="AU20" i="18"/>
  <c r="BG17" i="18"/>
  <c r="AV30" i="18"/>
  <c r="BG34" i="18"/>
  <c r="AU14" i="18"/>
  <c r="AB40" i="18"/>
  <c r="E42" i="18"/>
  <c r="AY17" i="18"/>
  <c r="AV13" i="18"/>
  <c r="BC14" i="18"/>
  <c r="AU9" i="18"/>
  <c r="AQ26" i="18"/>
  <c r="AY33" i="18"/>
  <c r="AX36" i="18"/>
  <c r="AZ37" i="18"/>
  <c r="AT8" i="18"/>
  <c r="AT10" i="18"/>
  <c r="AT15" i="18"/>
  <c r="AT17" i="18"/>
  <c r="AT37" i="18"/>
  <c r="AT16" i="18"/>
  <c r="AT26" i="18"/>
  <c r="AT19" i="18"/>
  <c r="AT11" i="18"/>
  <c r="AT13" i="18"/>
  <c r="AT38" i="18"/>
  <c r="AT39" i="18"/>
  <c r="AT18" i="18"/>
  <c r="AT9" i="18"/>
  <c r="AT23" i="18"/>
  <c r="AT29" i="18"/>
  <c r="AT24" i="18"/>
  <c r="AT14" i="18"/>
  <c r="AT31" i="18"/>
  <c r="AT12" i="18"/>
  <c r="AT36" i="18"/>
  <c r="AT7" i="18"/>
  <c r="AT32" i="18"/>
  <c r="AT33" i="18"/>
  <c r="AT21" i="18"/>
  <c r="BF24" i="18"/>
  <c r="BF14" i="18"/>
  <c r="BF36" i="18"/>
  <c r="BF7" i="18"/>
  <c r="BF33" i="18"/>
  <c r="BF12" i="18"/>
  <c r="BF21" i="18"/>
  <c r="BF16" i="18"/>
  <c r="BF38" i="18"/>
  <c r="BF39" i="18"/>
  <c r="BF26" i="18"/>
  <c r="BF19" i="18"/>
  <c r="BF11" i="18"/>
  <c r="BF13" i="18"/>
  <c r="BF35" i="18"/>
  <c r="BF29" i="18"/>
  <c r="BF25" i="18"/>
  <c r="BF31" i="18"/>
  <c r="BF9" i="18"/>
  <c r="BF23" i="18"/>
  <c r="BF32" i="18"/>
  <c r="BF18" i="18"/>
  <c r="BF17" i="18"/>
  <c r="AV35" i="18"/>
  <c r="AK34" i="18"/>
  <c r="BH36" i="18"/>
  <c r="BH7" i="18"/>
  <c r="BH33" i="18"/>
  <c r="BH12" i="18"/>
  <c r="BH21" i="18"/>
  <c r="BH8" i="18"/>
  <c r="BH10" i="18"/>
  <c r="BH15" i="18"/>
  <c r="BH17" i="18"/>
  <c r="BH22" i="18"/>
  <c r="BH20" i="18"/>
  <c r="BH38" i="18"/>
  <c r="BH39" i="18"/>
  <c r="BH25" i="18"/>
  <c r="BH29" i="18"/>
  <c r="BH18" i="18"/>
  <c r="BH9" i="18"/>
  <c r="BH23" i="18"/>
  <c r="BH31" i="18"/>
  <c r="BH24" i="18"/>
  <c r="BH34" i="18"/>
  <c r="BH32" i="18"/>
  <c r="BH14" i="18"/>
  <c r="BH28" i="18"/>
  <c r="AV34" i="18"/>
  <c r="BG30" i="18"/>
  <c r="AU18" i="18"/>
  <c r="BA26" i="18"/>
  <c r="BA19" i="18"/>
  <c r="BA11" i="18"/>
  <c r="BA13" i="18"/>
  <c r="BA34" i="18"/>
  <c r="BA39" i="18"/>
  <c r="BA35" i="18"/>
  <c r="BA27" i="18"/>
  <c r="BA25" i="18"/>
  <c r="BA28" i="18"/>
  <c r="BA36" i="18"/>
  <c r="BA7" i="18"/>
  <c r="BA33" i="18"/>
  <c r="BA12" i="18"/>
  <c r="BA21" i="18"/>
  <c r="BA37" i="18"/>
  <c r="BA22" i="18"/>
  <c r="BA20" i="18"/>
  <c r="BK8" i="18"/>
  <c r="BK37" i="18"/>
  <c r="BK15" i="18"/>
  <c r="BK34" i="18"/>
  <c r="BK12" i="18"/>
  <c r="BK16" i="18"/>
  <c r="BK38" i="18"/>
  <c r="BK26" i="18"/>
  <c r="BK39" i="18"/>
  <c r="BK14" i="18"/>
  <c r="BK29" i="18"/>
  <c r="BK36" i="18"/>
  <c r="BK9" i="18"/>
  <c r="BK31" i="18"/>
  <c r="BK33" i="18"/>
  <c r="BK18" i="18"/>
  <c r="BK32" i="18"/>
  <c r="BG29" i="18"/>
  <c r="AV28" i="18"/>
  <c r="AC40" i="18"/>
  <c r="BK27" i="18"/>
  <c r="BF27" i="18"/>
  <c r="AY30" i="18"/>
  <c r="AU30" i="18"/>
  <c r="BJ23" i="18"/>
  <c r="AN34" i="18"/>
  <c r="AN33" i="18"/>
  <c r="AN10" i="18"/>
  <c r="AN25" i="18"/>
  <c r="AN38" i="18"/>
  <c r="AN29" i="18"/>
  <c r="AN37" i="18"/>
  <c r="AN26" i="18"/>
  <c r="AN13" i="18"/>
  <c r="AN39" i="18"/>
  <c r="AN30" i="18"/>
  <c r="AN36" i="18"/>
  <c r="AN24" i="18"/>
  <c r="AN9" i="18"/>
  <c r="AN23" i="18"/>
  <c r="AN22" i="18"/>
  <c r="AN20" i="18"/>
  <c r="BJ32" i="18"/>
  <c r="BC29" i="18"/>
  <c r="AY29" i="18"/>
  <c r="AU29" i="18"/>
  <c r="BJ7" i="18"/>
  <c r="BC35" i="18"/>
  <c r="AS23" i="18"/>
  <c r="BA17" i="18"/>
  <c r="AV9" i="18"/>
  <c r="BG11" i="18"/>
  <c r="AR26" i="18"/>
  <c r="BC7" i="18"/>
  <c r="AZ33" i="18"/>
  <c r="AY36" i="18"/>
  <c r="BL21" i="18"/>
  <c r="BL37" i="18"/>
  <c r="BL23" i="18"/>
  <c r="BL38" i="18"/>
  <c r="BL17" i="18"/>
  <c r="BL22" i="18"/>
  <c r="BL39" i="18"/>
  <c r="BL9" i="18"/>
  <c r="BL24" i="18"/>
  <c r="BL8" i="18"/>
  <c r="BL25" i="18"/>
  <c r="BL7" i="18"/>
  <c r="BL10" i="18"/>
  <c r="BL27" i="18"/>
  <c r="BL18" i="18"/>
  <c r="BL28" i="18"/>
  <c r="BL12" i="18"/>
  <c r="BL29" i="18"/>
  <c r="BL11" i="18"/>
  <c r="BL30" i="18"/>
  <c r="BL14" i="18"/>
  <c r="BL19" i="18"/>
  <c r="BL32" i="18"/>
  <c r="BL15" i="18"/>
  <c r="BL13" i="18"/>
  <c r="BL34" i="18"/>
  <c r="BL36" i="18"/>
  <c r="BL20" i="18"/>
  <c r="BL35" i="18"/>
  <c r="BL16" i="18"/>
  <c r="AO28" i="18"/>
  <c r="AW17" i="18"/>
  <c r="AO25" i="18"/>
  <c r="BE25" i="18"/>
  <c r="AW15" i="18"/>
  <c r="AW10" i="18"/>
  <c r="AW8" i="18"/>
  <c r="AO27" i="18"/>
  <c r="BD11" i="18"/>
  <c r="BD19" i="18"/>
  <c r="AO38" i="18"/>
  <c r="AO35" i="18"/>
  <c r="AW7" i="18"/>
  <c r="AW36" i="18"/>
  <c r="AW23" i="18"/>
  <c r="AO16" i="18"/>
  <c r="BE16" i="18"/>
  <c r="AW9" i="18"/>
  <c r="AW18" i="18"/>
  <c r="AO37" i="18"/>
  <c r="BE37" i="18"/>
  <c r="BE28" i="18"/>
  <c r="AW28" i="18"/>
  <c r="AO32" i="18"/>
  <c r="AW20" i="18"/>
  <c r="AO14" i="18"/>
  <c r="BE14" i="18"/>
  <c r="AW22" i="18"/>
  <c r="AO24" i="18"/>
  <c r="BE24" i="18"/>
  <c r="BE27" i="18"/>
  <c r="AW27" i="18"/>
  <c r="AO31" i="18"/>
  <c r="BE39" i="18"/>
  <c r="AW39" i="18"/>
  <c r="AO30" i="18"/>
  <c r="AO23" i="18"/>
  <c r="BE23" i="18"/>
  <c r="AO9" i="18"/>
  <c r="BE9" i="18"/>
  <c r="BM21" i="19" l="1"/>
  <c r="AE21" i="19" s="1"/>
  <c r="AG21" i="19" s="1"/>
  <c r="BM35" i="14"/>
  <c r="AE35" i="14" s="1"/>
  <c r="AG35" i="14" s="1"/>
  <c r="BM17" i="14"/>
  <c r="AE17" i="14" s="1"/>
  <c r="AG17" i="14" s="1"/>
  <c r="BM18" i="14"/>
  <c r="AE18" i="14" s="1"/>
  <c r="AG18" i="14" s="1"/>
  <c r="BM27" i="14"/>
  <c r="AE27" i="14" s="1"/>
  <c r="AG27" i="14" s="1"/>
  <c r="AO26" i="14"/>
  <c r="BM26" i="14" s="1"/>
  <c r="AE26" i="14" s="1"/>
  <c r="AG26" i="14" s="1"/>
  <c r="AO13" i="14"/>
  <c r="AO29" i="14"/>
  <c r="AO28" i="14"/>
  <c r="BM28" i="14" s="1"/>
  <c r="AE28" i="14" s="1"/>
  <c r="AG28" i="14" s="1"/>
  <c r="AO31" i="14"/>
  <c r="AO23" i="14"/>
  <c r="BM23" i="14" s="1"/>
  <c r="AE23" i="14" s="1"/>
  <c r="AG23" i="14" s="1"/>
  <c r="AO32" i="14"/>
  <c r="BM15" i="14"/>
  <c r="AE15" i="14" s="1"/>
  <c r="AG15" i="14" s="1"/>
  <c r="BM16" i="14"/>
  <c r="AE16" i="14" s="1"/>
  <c r="AG16" i="14" s="1"/>
  <c r="BM9" i="14"/>
  <c r="AE9" i="14" s="1"/>
  <c r="AG9" i="14" s="1"/>
  <c r="AK38" i="14"/>
  <c r="BM20" i="14"/>
  <c r="AE20" i="14" s="1"/>
  <c r="AG20" i="14" s="1"/>
  <c r="BM29" i="14"/>
  <c r="AE29" i="14" s="1"/>
  <c r="AG29" i="14" s="1"/>
  <c r="BM10" i="14"/>
  <c r="AE10" i="14" s="1"/>
  <c r="AG10" i="14" s="1"/>
  <c r="BM25" i="14"/>
  <c r="AE25" i="14" s="1"/>
  <c r="AG25" i="14" s="1"/>
  <c r="BM7" i="14"/>
  <c r="AE7" i="14" s="1"/>
  <c r="AG7" i="14" s="1"/>
  <c r="BM12" i="14"/>
  <c r="AE12" i="14" s="1"/>
  <c r="AG12" i="14" s="1"/>
  <c r="BM30" i="14"/>
  <c r="AE30" i="14" s="1"/>
  <c r="AG30" i="14" s="1"/>
  <c r="AE33" i="10"/>
  <c r="AK38" i="17"/>
  <c r="BM24" i="14"/>
  <c r="AE24" i="14" s="1"/>
  <c r="AG24" i="14" s="1"/>
  <c r="BM33" i="14"/>
  <c r="AE33" i="14" s="1"/>
  <c r="AG33" i="14" s="1"/>
  <c r="BM8" i="14"/>
  <c r="AE8" i="14" s="1"/>
  <c r="AG8" i="14" s="1"/>
  <c r="BM32" i="14"/>
  <c r="AE32" i="14" s="1"/>
  <c r="AG32" i="14" s="1"/>
  <c r="BM13" i="14"/>
  <c r="AE13" i="14" s="1"/>
  <c r="AG13" i="14" s="1"/>
  <c r="BM14" i="14"/>
  <c r="AE14" i="14" s="1"/>
  <c r="AG14" i="14" s="1"/>
  <c r="BM31" i="14"/>
  <c r="AE31" i="14" s="1"/>
  <c r="AG31" i="14" s="1"/>
  <c r="BM34" i="14"/>
  <c r="AE34" i="14" s="1"/>
  <c r="AG34" i="14" s="1"/>
  <c r="BM19" i="14"/>
  <c r="AE19" i="14" s="1"/>
  <c r="AG19" i="14" s="1"/>
  <c r="BM21" i="14"/>
  <c r="AE21" i="14" s="1"/>
  <c r="AG21" i="14" s="1"/>
  <c r="BM11" i="14"/>
  <c r="AE11" i="14" s="1"/>
  <c r="AG11" i="14" s="1"/>
  <c r="BM22" i="14"/>
  <c r="AE22" i="14" s="1"/>
  <c r="AG22" i="14" s="1"/>
  <c r="AO12" i="11"/>
  <c r="BM12" i="11" s="1"/>
  <c r="AE12" i="11" s="1"/>
  <c r="AG12" i="11" s="1"/>
  <c r="AO18" i="11"/>
  <c r="BM18" i="11" s="1"/>
  <c r="AE18" i="11" s="1"/>
  <c r="AG18" i="11" s="1"/>
  <c r="AO10" i="11"/>
  <c r="BM10" i="11" s="1"/>
  <c r="AE10" i="11" s="1"/>
  <c r="AG10" i="11" s="1"/>
  <c r="AO15" i="11"/>
  <c r="BM15" i="11" s="1"/>
  <c r="AE15" i="11" s="1"/>
  <c r="AG15" i="11" s="1"/>
  <c r="AO27" i="11"/>
  <c r="BM27" i="11" s="1"/>
  <c r="AE27" i="11" s="1"/>
  <c r="AG27" i="11" s="1"/>
  <c r="AO14" i="11"/>
  <c r="BM14" i="11" s="1"/>
  <c r="AE14" i="11" s="1"/>
  <c r="AG14" i="11" s="1"/>
  <c r="AO8" i="11"/>
  <c r="BM8" i="11" s="1"/>
  <c r="AE8" i="11" s="1"/>
  <c r="AG8" i="11" s="1"/>
  <c r="AO13" i="11"/>
  <c r="BM13" i="11" s="1"/>
  <c r="AE13" i="11" s="1"/>
  <c r="AG13" i="11" s="1"/>
  <c r="AO17" i="11"/>
  <c r="BM17" i="11" s="1"/>
  <c r="AE17" i="11" s="1"/>
  <c r="AG17" i="11" s="1"/>
  <c r="AO9" i="11"/>
  <c r="BM9" i="11" s="1"/>
  <c r="AE9" i="11" s="1"/>
  <c r="AG9" i="11" s="1"/>
  <c r="AO36" i="11"/>
  <c r="BM36" i="11" s="1"/>
  <c r="AE36" i="11" s="1"/>
  <c r="AG36" i="11" s="1"/>
  <c r="AO20" i="11"/>
  <c r="BM20" i="11" s="1"/>
  <c r="AE20" i="11" s="1"/>
  <c r="AG20" i="11" s="1"/>
  <c r="AO11" i="11"/>
  <c r="BM11" i="11" s="1"/>
  <c r="AE11" i="11" s="1"/>
  <c r="AG11" i="11" s="1"/>
  <c r="AO21" i="11"/>
  <c r="AO32" i="11"/>
  <c r="BM32" i="11" s="1"/>
  <c r="AE32" i="11" s="1"/>
  <c r="AG32" i="11" s="1"/>
  <c r="AO26" i="11"/>
  <c r="BM26" i="11" s="1"/>
  <c r="AE26" i="11" s="1"/>
  <c r="AG26" i="11" s="1"/>
  <c r="AO35" i="11"/>
  <c r="BM35" i="11" s="1"/>
  <c r="AE35" i="11" s="1"/>
  <c r="AG35" i="11" s="1"/>
  <c r="AO22" i="11"/>
  <c r="BM22" i="11" s="1"/>
  <c r="AE22" i="11" s="1"/>
  <c r="AG22" i="11" s="1"/>
  <c r="AO16" i="11"/>
  <c r="BM16" i="11" s="1"/>
  <c r="AE16" i="11" s="1"/>
  <c r="AG16" i="11" s="1"/>
  <c r="AO31" i="11"/>
  <c r="AO23" i="11"/>
  <c r="BM23" i="11" s="1"/>
  <c r="AE23" i="11" s="1"/>
  <c r="AG23" i="11" s="1"/>
  <c r="AO25" i="11"/>
  <c r="AO24" i="11"/>
  <c r="BM24" i="11" s="1"/>
  <c r="AE24" i="11" s="1"/>
  <c r="AG24" i="11" s="1"/>
  <c r="AO19" i="11"/>
  <c r="BM19" i="11" s="1"/>
  <c r="AE19" i="11" s="1"/>
  <c r="AG19" i="11" s="1"/>
  <c r="AO30" i="11"/>
  <c r="BM30" i="11" s="1"/>
  <c r="AE30" i="11" s="1"/>
  <c r="AG30" i="11" s="1"/>
  <c r="AO29" i="11"/>
  <c r="BM29" i="11" s="1"/>
  <c r="AE29" i="11" s="1"/>
  <c r="AG29" i="11" s="1"/>
  <c r="AO34" i="11"/>
  <c r="BM34" i="11" s="1"/>
  <c r="AE34" i="11" s="1"/>
  <c r="AG34" i="11" s="1"/>
  <c r="AO7" i="11"/>
  <c r="BM7" i="11" s="1"/>
  <c r="AE7" i="11" s="1"/>
  <c r="AG7" i="11" s="1"/>
  <c r="AO28" i="11"/>
  <c r="BM28" i="11" s="1"/>
  <c r="AE28" i="11" s="1"/>
  <c r="AG28" i="11" s="1"/>
  <c r="AO33" i="11"/>
  <c r="BM33" i="11" s="1"/>
  <c r="AE33" i="11" s="1"/>
  <c r="AG33" i="11" s="1"/>
  <c r="BM21" i="11"/>
  <c r="AE21" i="11" s="1"/>
  <c r="AG21" i="11" s="1"/>
  <c r="BM25" i="11"/>
  <c r="AE25" i="11" s="1"/>
  <c r="AG25" i="11" s="1"/>
  <c r="BM31" i="11"/>
  <c r="AE31" i="11" s="1"/>
  <c r="AG31" i="11" s="1"/>
  <c r="AK38" i="11"/>
  <c r="AG32" i="13"/>
  <c r="BC30" i="13"/>
  <c r="Z30" i="13" s="1"/>
  <c r="AB30" i="13" s="1"/>
  <c r="BC25" i="13"/>
  <c r="Z25" i="13" s="1"/>
  <c r="AB25" i="13" s="1"/>
  <c r="AJ31" i="13"/>
  <c r="BC31" i="13" s="1"/>
  <c r="Z31" i="13" s="1"/>
  <c r="AB31" i="13" s="1"/>
  <c r="AJ20" i="13"/>
  <c r="BC20" i="13" s="1"/>
  <c r="Z20" i="13" s="1"/>
  <c r="AB20" i="13" s="1"/>
  <c r="AJ22" i="13"/>
  <c r="BC22" i="13" s="1"/>
  <c r="Z22" i="13" s="1"/>
  <c r="AB22" i="13" s="1"/>
  <c r="AJ24" i="13"/>
  <c r="AJ9" i="13"/>
  <c r="BC9" i="13" s="1"/>
  <c r="Z9" i="13" s="1"/>
  <c r="AB9" i="13" s="1"/>
  <c r="AJ21" i="13"/>
  <c r="AJ10" i="13"/>
  <c r="BC10" i="13" s="1"/>
  <c r="Z10" i="13" s="1"/>
  <c r="AB10" i="13" s="1"/>
  <c r="AJ19" i="13"/>
  <c r="AJ18" i="13"/>
  <c r="BC18" i="13" s="1"/>
  <c r="Z18" i="13" s="1"/>
  <c r="AB18" i="13" s="1"/>
  <c r="AJ11" i="13"/>
  <c r="BC11" i="13" s="1"/>
  <c r="Z11" i="13" s="1"/>
  <c r="AB11" i="13" s="1"/>
  <c r="AJ26" i="13"/>
  <c r="AJ13" i="13"/>
  <c r="BC13" i="13" s="1"/>
  <c r="Z13" i="13" s="1"/>
  <c r="AB13" i="13" s="1"/>
  <c r="AJ28" i="13"/>
  <c r="BC28" i="13" s="1"/>
  <c r="Z28" i="13" s="1"/>
  <c r="AB28" i="13" s="1"/>
  <c r="AJ7" i="13"/>
  <c r="BC7" i="13" s="1"/>
  <c r="Z7" i="13" s="1"/>
  <c r="AB7" i="13" s="1"/>
  <c r="AJ8" i="13"/>
  <c r="BC8" i="13" s="1"/>
  <c r="Z8" i="13" s="1"/>
  <c r="AB8" i="13" s="1"/>
  <c r="AJ14" i="13"/>
  <c r="BC14" i="13" s="1"/>
  <c r="Z14" i="13" s="1"/>
  <c r="AB14" i="13" s="1"/>
  <c r="AJ15" i="13"/>
  <c r="BC15" i="13" s="1"/>
  <c r="Z15" i="13" s="1"/>
  <c r="AB15" i="13" s="1"/>
  <c r="AJ12" i="13"/>
  <c r="BC12" i="13" s="1"/>
  <c r="Z12" i="13" s="1"/>
  <c r="AB12" i="13" s="1"/>
  <c r="AJ27" i="13"/>
  <c r="AJ17" i="13"/>
  <c r="BC17" i="13" s="1"/>
  <c r="Z17" i="13" s="1"/>
  <c r="AB17" i="13" s="1"/>
  <c r="AJ25" i="13"/>
  <c r="AJ23" i="13"/>
  <c r="AJ16" i="13"/>
  <c r="BC16" i="13" s="1"/>
  <c r="Z16" i="13" s="1"/>
  <c r="AB16" i="13" s="1"/>
  <c r="AJ29" i="13"/>
  <c r="BC29" i="13" s="1"/>
  <c r="Z29" i="13" s="1"/>
  <c r="AB29" i="13" s="1"/>
  <c r="AJ30" i="13"/>
  <c r="BC19" i="13"/>
  <c r="Z19" i="13" s="1"/>
  <c r="AB19" i="13" s="1"/>
  <c r="BC23" i="13"/>
  <c r="Z23" i="13" s="1"/>
  <c r="AB23" i="13" s="1"/>
  <c r="BC21" i="13"/>
  <c r="Z21" i="13" s="1"/>
  <c r="AB21" i="13" s="1"/>
  <c r="BC26" i="13"/>
  <c r="Z26" i="13" s="1"/>
  <c r="AB26" i="13" s="1"/>
  <c r="BC24" i="13"/>
  <c r="Z24" i="13" s="1"/>
  <c r="AB24" i="13" s="1"/>
  <c r="BC27" i="13"/>
  <c r="Z27" i="13" s="1"/>
  <c r="AB27" i="13" s="1"/>
  <c r="BC15" i="20"/>
  <c r="Z15" i="20" s="1"/>
  <c r="AB15" i="20" s="1"/>
  <c r="AF30" i="20"/>
  <c r="BC23" i="20"/>
  <c r="Z23" i="20" s="1"/>
  <c r="AB23" i="20" s="1"/>
  <c r="BC19" i="20"/>
  <c r="Z19" i="20" s="1"/>
  <c r="AB19" i="20" s="1"/>
  <c r="BC12" i="20"/>
  <c r="Z12" i="20" s="1"/>
  <c r="AB12" i="20" s="1"/>
  <c r="BC8" i="20"/>
  <c r="Z8" i="20" s="1"/>
  <c r="AB8" i="20" s="1"/>
  <c r="BC27" i="20"/>
  <c r="Z27" i="20" s="1"/>
  <c r="AB27" i="20" s="1"/>
  <c r="BC22" i="20"/>
  <c r="Z22" i="20" s="1"/>
  <c r="AB22" i="20" s="1"/>
  <c r="BC7" i="20"/>
  <c r="Z7" i="20" s="1"/>
  <c r="AB7" i="20" s="1"/>
  <c r="BC26" i="20"/>
  <c r="Z26" i="20" s="1"/>
  <c r="AB26" i="20" s="1"/>
  <c r="BC20" i="20"/>
  <c r="Z20" i="20" s="1"/>
  <c r="AB20" i="20" s="1"/>
  <c r="BC11" i="20"/>
  <c r="Z11" i="20" s="1"/>
  <c r="AB11" i="20" s="1"/>
  <c r="BC29" i="20"/>
  <c r="Z29" i="20" s="1"/>
  <c r="AB29" i="20" s="1"/>
  <c r="BC10" i="20"/>
  <c r="Z10" i="20" s="1"/>
  <c r="AB10" i="20" s="1"/>
  <c r="BC18" i="20"/>
  <c r="Z18" i="20" s="1"/>
  <c r="AB18" i="20" s="1"/>
  <c r="BC9" i="20"/>
  <c r="Z9" i="20" s="1"/>
  <c r="AB9" i="20" s="1"/>
  <c r="BC13" i="20"/>
  <c r="Z13" i="20" s="1"/>
  <c r="AB13" i="20" s="1"/>
  <c r="BC16" i="20"/>
  <c r="Z16" i="20" s="1"/>
  <c r="AB16" i="20" s="1"/>
  <c r="BC24" i="20"/>
  <c r="Z24" i="20" s="1"/>
  <c r="AB24" i="20" s="1"/>
  <c r="BC6" i="20"/>
  <c r="Z6" i="20" s="1"/>
  <c r="AB6" i="20" s="1"/>
  <c r="BC14" i="20"/>
  <c r="Z14" i="20" s="1"/>
  <c r="AB14" i="20" s="1"/>
  <c r="BC25" i="20"/>
  <c r="Z25" i="20" s="1"/>
  <c r="AB25" i="20" s="1"/>
  <c r="BC17" i="20"/>
  <c r="Z17" i="20" s="1"/>
  <c r="AB17" i="20" s="1"/>
  <c r="BC28" i="20"/>
  <c r="Z28" i="20" s="1"/>
  <c r="AB28" i="20" s="1"/>
  <c r="BC21" i="20"/>
  <c r="Z21" i="20" s="1"/>
  <c r="AB21" i="20" s="1"/>
  <c r="BM9" i="19"/>
  <c r="AE9" i="19" s="1"/>
  <c r="AG9" i="19" s="1"/>
  <c r="BM37" i="19"/>
  <c r="AE37" i="19" s="1"/>
  <c r="AG37" i="19" s="1"/>
  <c r="BM31" i="19"/>
  <c r="AE31" i="19" s="1"/>
  <c r="AG31" i="19" s="1"/>
  <c r="BM34" i="19"/>
  <c r="AE34" i="19" s="1"/>
  <c r="AG34" i="19" s="1"/>
  <c r="BM32" i="19"/>
  <c r="AE32" i="19" s="1"/>
  <c r="AG32" i="19" s="1"/>
  <c r="AK40" i="19"/>
  <c r="BM24" i="19"/>
  <c r="AE24" i="19" s="1"/>
  <c r="AG24" i="19" s="1"/>
  <c r="BM18" i="19"/>
  <c r="AE18" i="19" s="1"/>
  <c r="AG18" i="19" s="1"/>
  <c r="BM16" i="19"/>
  <c r="AE16" i="19" s="1"/>
  <c r="AG16" i="19" s="1"/>
  <c r="BM30" i="19"/>
  <c r="AE30" i="19" s="1"/>
  <c r="AG30" i="19" s="1"/>
  <c r="BM20" i="19"/>
  <c r="AE20" i="19" s="1"/>
  <c r="AG20" i="19" s="1"/>
  <c r="BM23" i="19"/>
  <c r="AE23" i="19" s="1"/>
  <c r="AG23" i="19" s="1"/>
  <c r="BM10" i="19"/>
  <c r="AE10" i="19" s="1"/>
  <c r="AG10" i="19" s="1"/>
  <c r="BM13" i="19"/>
  <c r="AE13" i="19" s="1"/>
  <c r="AG13" i="19" s="1"/>
  <c r="BM17" i="19"/>
  <c r="AE17" i="19" s="1"/>
  <c r="AG17" i="19" s="1"/>
  <c r="BM25" i="19"/>
  <c r="AE25" i="19" s="1"/>
  <c r="AG25" i="19" s="1"/>
  <c r="BM7" i="19"/>
  <c r="AE7" i="19" s="1"/>
  <c r="AG7" i="19" s="1"/>
  <c r="BM12" i="19"/>
  <c r="AE12" i="19" s="1"/>
  <c r="AG12" i="19" s="1"/>
  <c r="BM35" i="19"/>
  <c r="AE35" i="19" s="1"/>
  <c r="AG35" i="19" s="1"/>
  <c r="BM26" i="19"/>
  <c r="AE26" i="19" s="1"/>
  <c r="AG26" i="19" s="1"/>
  <c r="BM28" i="19"/>
  <c r="AE28" i="19" s="1"/>
  <c r="AG28" i="19" s="1"/>
  <c r="BM11" i="19"/>
  <c r="AE11" i="19" s="1"/>
  <c r="AG11" i="19" s="1"/>
  <c r="BM14" i="19"/>
  <c r="AE14" i="19" s="1"/>
  <c r="AG14" i="19" s="1"/>
  <c r="BM27" i="19"/>
  <c r="AE27" i="19" s="1"/>
  <c r="AG27" i="19" s="1"/>
  <c r="BM22" i="19"/>
  <c r="AE22" i="19" s="1"/>
  <c r="AG22" i="19" s="1"/>
  <c r="BM8" i="19"/>
  <c r="AE8" i="19" s="1"/>
  <c r="AG8" i="19" s="1"/>
  <c r="BM19" i="19"/>
  <c r="AE19" i="19" s="1"/>
  <c r="AG19" i="19" s="1"/>
  <c r="BM15" i="19"/>
  <c r="AE15" i="19" s="1"/>
  <c r="AG15" i="19" s="1"/>
  <c r="BM36" i="19"/>
  <c r="AE36" i="19" s="1"/>
  <c r="AG36" i="19" s="1"/>
  <c r="BM33" i="19"/>
  <c r="AE33" i="19" s="1"/>
  <c r="AG33" i="19" s="1"/>
  <c r="BM29" i="19"/>
  <c r="AE29" i="19" s="1"/>
  <c r="AG29" i="19" s="1"/>
  <c r="BM10" i="18"/>
  <c r="AE10" i="18" s="1"/>
  <c r="AG10" i="18" s="1"/>
  <c r="AK42" i="18"/>
  <c r="AP32" i="18"/>
  <c r="BM32" i="18" s="1"/>
  <c r="AE32" i="18" s="1"/>
  <c r="AG32" i="18" s="1"/>
  <c r="AP24" i="18"/>
  <c r="BM24" i="18" s="1"/>
  <c r="AE24" i="18" s="1"/>
  <c r="AG24" i="18" s="1"/>
  <c r="AP14" i="18"/>
  <c r="BM14" i="18" s="1"/>
  <c r="AE14" i="18" s="1"/>
  <c r="AG14" i="18" s="1"/>
  <c r="AP36" i="18"/>
  <c r="BM36" i="18" s="1"/>
  <c r="AE36" i="18" s="1"/>
  <c r="AG36" i="18" s="1"/>
  <c r="AP7" i="18"/>
  <c r="BM7" i="18" s="1"/>
  <c r="AE7" i="18" s="1"/>
  <c r="AG7" i="18" s="1"/>
  <c r="AP33" i="18"/>
  <c r="BM33" i="18" s="1"/>
  <c r="AE33" i="18" s="1"/>
  <c r="AG33" i="18" s="1"/>
  <c r="AP12" i="18"/>
  <c r="BM12" i="18" s="1"/>
  <c r="AE12" i="18" s="1"/>
  <c r="AG12" i="18" s="1"/>
  <c r="AP21" i="18"/>
  <c r="BM21" i="18" s="1"/>
  <c r="AE21" i="18" s="1"/>
  <c r="AG21" i="18" s="1"/>
  <c r="AP16" i="18"/>
  <c r="BM16" i="18" s="1"/>
  <c r="AE16" i="18" s="1"/>
  <c r="AG16" i="18" s="1"/>
  <c r="AP26" i="18"/>
  <c r="BM26" i="18" s="1"/>
  <c r="AE26" i="18" s="1"/>
  <c r="AG26" i="18" s="1"/>
  <c r="AP19" i="18"/>
  <c r="BM19" i="18" s="1"/>
  <c r="AE19" i="18" s="1"/>
  <c r="AG19" i="18" s="1"/>
  <c r="AP11" i="18"/>
  <c r="BM11" i="18" s="1"/>
  <c r="AE11" i="18" s="1"/>
  <c r="AG11" i="18" s="1"/>
  <c r="AP13" i="18"/>
  <c r="BM13" i="18" s="1"/>
  <c r="AE13" i="18" s="1"/>
  <c r="AG13" i="18" s="1"/>
  <c r="AP27" i="18"/>
  <c r="BM27" i="18" s="1"/>
  <c r="AE27" i="18" s="1"/>
  <c r="AG27" i="18" s="1"/>
  <c r="AP25" i="18"/>
  <c r="BM25" i="18" s="1"/>
  <c r="AE25" i="18" s="1"/>
  <c r="AG25" i="18" s="1"/>
  <c r="AP35" i="18"/>
  <c r="BM35" i="18" s="1"/>
  <c r="AE35" i="18" s="1"/>
  <c r="AG35" i="18" s="1"/>
  <c r="AP29" i="18"/>
  <c r="BM29" i="18" s="1"/>
  <c r="AE29" i="18" s="1"/>
  <c r="AG29" i="18" s="1"/>
  <c r="AP9" i="18"/>
  <c r="BM9" i="18" s="1"/>
  <c r="AE9" i="18" s="1"/>
  <c r="AG9" i="18" s="1"/>
  <c r="AP30" i="18"/>
  <c r="BM30" i="18" s="1"/>
  <c r="AE30" i="18" s="1"/>
  <c r="AG30" i="18" s="1"/>
  <c r="AP18" i="18"/>
  <c r="BM18" i="18" s="1"/>
  <c r="AE18" i="18" s="1"/>
  <c r="AG18" i="18" s="1"/>
  <c r="AP23" i="18"/>
  <c r="BM23" i="18" s="1"/>
  <c r="AE23" i="18" s="1"/>
  <c r="AG23" i="18" s="1"/>
  <c r="AP8" i="18"/>
  <c r="BM8" i="18" s="1"/>
  <c r="AE8" i="18" s="1"/>
  <c r="AG8" i="18" s="1"/>
  <c r="AP22" i="18"/>
  <c r="BM22" i="18" s="1"/>
  <c r="AE22" i="18" s="1"/>
  <c r="AG22" i="18" s="1"/>
  <c r="AP38" i="18"/>
  <c r="BM38" i="18" s="1"/>
  <c r="AE38" i="18" s="1"/>
  <c r="AG38" i="18" s="1"/>
  <c r="AP39" i="18"/>
  <c r="BM39" i="18" s="1"/>
  <c r="AE39" i="18" s="1"/>
  <c r="AG39" i="18" s="1"/>
  <c r="AP10" i="18"/>
  <c r="AP28" i="18"/>
  <c r="BM28" i="18" s="1"/>
  <c r="AE28" i="18" s="1"/>
  <c r="AG28" i="18" s="1"/>
  <c r="AP31" i="18"/>
  <c r="BM31" i="18" s="1"/>
  <c r="AE31" i="18" s="1"/>
  <c r="AG31" i="18" s="1"/>
  <c r="AP17" i="18"/>
  <c r="BM17" i="18" s="1"/>
  <c r="AE17" i="18" s="1"/>
  <c r="AG17" i="18" s="1"/>
  <c r="AP34" i="18"/>
  <c r="BM34" i="18" s="1"/>
  <c r="AE34" i="18" s="1"/>
  <c r="AG34" i="18" s="1"/>
  <c r="AP37" i="18"/>
  <c r="BM37" i="18" s="1"/>
  <c r="AE37" i="18" s="1"/>
  <c r="AG37" i="18" s="1"/>
  <c r="AP15" i="18"/>
  <c r="BM15" i="18" s="1"/>
  <c r="AE15" i="18" s="1"/>
  <c r="AG15" i="18" s="1"/>
  <c r="AP20" i="18"/>
  <c r="BM20" i="18" s="1"/>
  <c r="AE20" i="18" s="1"/>
  <c r="AG20" i="18" s="1"/>
</calcChain>
</file>

<file path=xl/sharedStrings.xml><?xml version="1.0" encoding="utf-8"?>
<sst xmlns="http://schemas.openxmlformats.org/spreadsheetml/2006/main" count="4238" uniqueCount="300">
  <si>
    <t>4-2</t>
  </si>
  <si>
    <t>1-1</t>
  </si>
  <si>
    <t>3-0</t>
  </si>
  <si>
    <t>2-3</t>
  </si>
  <si>
    <t>0-3</t>
  </si>
  <si>
    <t>2-1</t>
  </si>
  <si>
    <t>5-0</t>
  </si>
  <si>
    <t>2-0</t>
  </si>
  <si>
    <t>2-4</t>
  </si>
  <si>
    <t>3-1</t>
  </si>
  <si>
    <t>0-2</t>
  </si>
  <si>
    <t>0-5</t>
  </si>
  <si>
    <t>2-5</t>
  </si>
  <si>
    <t>0-0</t>
  </si>
  <si>
    <t>Chossel Sport</t>
  </si>
  <si>
    <t>Bacchus</t>
  </si>
  <si>
    <t>OBB</t>
  </si>
  <si>
    <t>Amber G</t>
  </si>
  <si>
    <t>AC De Heide</t>
  </si>
  <si>
    <t>Excelsior 81</t>
  </si>
  <si>
    <t>Katastroof</t>
  </si>
  <si>
    <t>Sporting Olympia</t>
  </si>
  <si>
    <t>Ruisbroek Next</t>
  </si>
  <si>
    <t>Kloosterstraat</t>
  </si>
  <si>
    <t>OOF</t>
  </si>
  <si>
    <t>JEE DEE</t>
  </si>
  <si>
    <t>Den Derde Helft</t>
  </si>
  <si>
    <t>Kwartfinale?</t>
  </si>
  <si>
    <t>Halve finale?</t>
  </si>
  <si>
    <t>#wissels</t>
  </si>
  <si>
    <t>Keeper</t>
  </si>
  <si>
    <t>&lt;11 spelers</t>
  </si>
  <si>
    <t>Toeschouwer</t>
  </si>
  <si>
    <t>percentage wissels</t>
  </si>
  <si>
    <t>Wedstrijden gespeeld</t>
  </si>
  <si>
    <t>BEKER</t>
  </si>
  <si>
    <t>Kwartfinale</t>
  </si>
  <si>
    <t>Halve finale</t>
  </si>
  <si>
    <t>Finale</t>
  </si>
  <si>
    <t>NAAM</t>
  </si>
  <si>
    <t>16u</t>
  </si>
  <si>
    <t>14u45</t>
  </si>
  <si>
    <t>15u</t>
  </si>
  <si>
    <t>15u00</t>
  </si>
  <si>
    <t>13u</t>
  </si>
  <si>
    <t>15u30</t>
  </si>
  <si>
    <t>14u00</t>
  </si>
  <si>
    <t>MISSOTTEN Toon</t>
  </si>
  <si>
    <t>h</t>
  </si>
  <si>
    <t>VAN DEN BOSCH Robbe</t>
  </si>
  <si>
    <t>w</t>
  </si>
  <si>
    <t>VAN DER KEILEN Kianu</t>
  </si>
  <si>
    <t>t</t>
  </si>
  <si>
    <t>CLAES Arnaud</t>
  </si>
  <si>
    <t>VAN NIMMEN Michaël</t>
  </si>
  <si>
    <t>DE DECKER Tom</t>
  </si>
  <si>
    <t>HEPS Michiel</t>
  </si>
  <si>
    <t>DE KEERSMAECKER Mats</t>
  </si>
  <si>
    <t>DE HERTOGH Stanne</t>
  </si>
  <si>
    <t>FOCQUET Mathijs</t>
  </si>
  <si>
    <t>WAUTERICKX Vincent</t>
  </si>
  <si>
    <t>VERMEULEN Thijs</t>
  </si>
  <si>
    <t>VERGULT Vince</t>
  </si>
  <si>
    <t>PEETERS Xander</t>
  </si>
  <si>
    <t>KRUSE Wouter</t>
  </si>
  <si>
    <t>VANGRAMBEREN Anton</t>
  </si>
  <si>
    <t>LEPOMME Quynten</t>
  </si>
  <si>
    <t>ROEF Thomas</t>
  </si>
  <si>
    <t>ROSCAM Stijn</t>
  </si>
  <si>
    <t xml:space="preserve">  </t>
  </si>
  <si>
    <t>VAN DEN BOSCH Wout</t>
  </si>
  <si>
    <t>DE LANDTSHEER Rik</t>
  </si>
  <si>
    <t>PEETERS Robbe</t>
  </si>
  <si>
    <t>VAN BAELEN Filip</t>
  </si>
  <si>
    <t>k</t>
  </si>
  <si>
    <t>LACOUR Jaan</t>
  </si>
  <si>
    <t>THIBAUT Louis</t>
  </si>
  <si>
    <t>VERHELST Ewoud</t>
  </si>
  <si>
    <t>COPPENS Stijn</t>
  </si>
  <si>
    <t>VAN CAILLIE Olivier</t>
  </si>
  <si>
    <t>DE BIE Frank</t>
  </si>
  <si>
    <t>CORNELIS Sven</t>
  </si>
  <si>
    <t>VANLERBERGHE Jens</t>
  </si>
  <si>
    <t>Met 11 of meer?</t>
  </si>
  <si>
    <t>Totaal</t>
  </si>
  <si>
    <t>Thuis</t>
  </si>
  <si>
    <t>Weg</t>
  </si>
  <si>
    <t>Gewonnen</t>
  </si>
  <si>
    <t>Verloren</t>
  </si>
  <si>
    <t>Hele wedstrijd</t>
  </si>
  <si>
    <t>Gelijk</t>
  </si>
  <si>
    <t>Forfait</t>
  </si>
  <si>
    <t>Wissel</t>
  </si>
  <si>
    <t>Scheidsrechter</t>
  </si>
  <si>
    <t>Bij tegenstander</t>
  </si>
  <si>
    <t>Gelijkspel</t>
  </si>
  <si>
    <t>Beker 1</t>
  </si>
  <si>
    <t>Beker 2</t>
  </si>
  <si>
    <t>Beker 3</t>
  </si>
  <si>
    <t>Beker 4</t>
  </si>
  <si>
    <t>Eigen doelpunt</t>
  </si>
  <si>
    <t>Voor</t>
  </si>
  <si>
    <t>Tegen</t>
  </si>
  <si>
    <t>Saldo</t>
  </si>
  <si>
    <t>DELANDTSHEER Rik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</si>
  <si>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</si>
  <si>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</si>
  <si>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</si>
  <si>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</si>
  <si>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</si>
  <si>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</si>
  <si>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</si>
  <si>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</si>
  <si>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</si>
  <si>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2026-2027</t>
  </si>
  <si>
    <t>DE BAKKER Toon</t>
  </si>
  <si>
    <t>BELLENS Michiel</t>
  </si>
  <si>
    <t>DE NYN Jannick</t>
  </si>
  <si>
    <t>LOYSON Bart</t>
  </si>
  <si>
    <t>THYS Yarne</t>
  </si>
  <si>
    <t>RADDER Jasper</t>
  </si>
  <si>
    <t>LENAERTS Djessy</t>
  </si>
  <si>
    <t>VAN CAMP Jannik</t>
  </si>
  <si>
    <t>VAN HEE Nick</t>
  </si>
  <si>
    <t>DE VOS Robbe</t>
  </si>
  <si>
    <t>VAN DER AUWERA Stijn</t>
  </si>
  <si>
    <t>EGGERS Lars</t>
  </si>
  <si>
    <t>ROS Mathias</t>
  </si>
  <si>
    <t>BAKUNDA Ally</t>
  </si>
  <si>
    <t>DEBAENST Gilles</t>
  </si>
  <si>
    <t xml:space="preserve">VAN GOETHEM Tijl </t>
  </si>
  <si>
    <t>SOLS Robbe</t>
  </si>
  <si>
    <t>RENDERS Willem</t>
  </si>
  <si>
    <t>VAN DUN Lennert</t>
  </si>
  <si>
    <t>GEUDENS Joren</t>
  </si>
  <si>
    <t>THOEN Nathan</t>
  </si>
  <si>
    <t>VAN DER KEILEN Tristan</t>
  </si>
  <si>
    <t>Totaal zonder toeschouwers</t>
  </si>
  <si>
    <t>Aantal wedstrijden</t>
  </si>
  <si>
    <t>Ratio aanwezigheden/wedstrijd</t>
  </si>
  <si>
    <t>Ratio spelers/wedstrijd</t>
  </si>
  <si>
    <t>FOCQUET Matthijs</t>
  </si>
  <si>
    <t>Owngoals</t>
  </si>
  <si>
    <t xml:space="preserve">Forfaits </t>
  </si>
  <si>
    <t xml:space="preserve">DE NYN Jannick </t>
  </si>
  <si>
    <t>VAN DEN BOSSCHE Wout</t>
  </si>
  <si>
    <t>2027-2028</t>
  </si>
  <si>
    <t>2028-2029</t>
  </si>
  <si>
    <t>2029-2030</t>
  </si>
  <si>
    <t>2030-2031</t>
  </si>
  <si>
    <t>TWAALFDE MAN</t>
  </si>
  <si>
    <t>4-4</t>
  </si>
  <si>
    <t>5-1</t>
  </si>
  <si>
    <t>1-6</t>
  </si>
  <si>
    <t>ff 5-0</t>
  </si>
  <si>
    <t>1-3</t>
  </si>
  <si>
    <t>ff 0-5</t>
  </si>
  <si>
    <t>6-0</t>
  </si>
  <si>
    <t>1-4</t>
  </si>
  <si>
    <t>3-2</t>
  </si>
  <si>
    <t>Athletico JOH</t>
  </si>
  <si>
    <t>Bristol Boys</t>
  </si>
  <si>
    <t>Noeveren</t>
  </si>
  <si>
    <t>VK Geel Zwart 89</t>
  </si>
  <si>
    <t>FC Chossel Sport</t>
  </si>
  <si>
    <t>Sifra</t>
  </si>
  <si>
    <t>Elite Athletic</t>
  </si>
  <si>
    <t>Svenska Sport</t>
  </si>
  <si>
    <t>Gobi United B</t>
  </si>
  <si>
    <t>Amber C</t>
  </si>
  <si>
    <t>Athlecico JOH</t>
  </si>
  <si>
    <t>Sitra</t>
  </si>
  <si>
    <t>16/09</t>
  </si>
  <si>
    <t>23/09</t>
  </si>
  <si>
    <t>30/09</t>
  </si>
  <si>
    <t>14/10</t>
  </si>
  <si>
    <t>21/10</t>
  </si>
  <si>
    <t>4/11</t>
  </si>
  <si>
    <t>18/11</t>
  </si>
  <si>
    <t>25/11</t>
  </si>
  <si>
    <t>2/12</t>
  </si>
  <si>
    <t>9/12</t>
  </si>
  <si>
    <t>10/02</t>
  </si>
  <si>
    <t>6/1</t>
  </si>
  <si>
    <t>13/1</t>
  </si>
  <si>
    <t>27/1</t>
  </si>
  <si>
    <t>24/2</t>
  </si>
  <si>
    <t>10/3</t>
  </si>
  <si>
    <t>17/3</t>
  </si>
  <si>
    <t>24/3</t>
  </si>
  <si>
    <t>8/4</t>
  </si>
  <si>
    <t>14/4</t>
  </si>
  <si>
    <t>ctl</t>
  </si>
  <si>
    <t>VOOR</t>
  </si>
  <si>
    <t>TEGEN</t>
  </si>
  <si>
    <t>8-0</t>
  </si>
  <si>
    <t>0-1</t>
  </si>
  <si>
    <t>2-2</t>
  </si>
  <si>
    <t>4-0</t>
  </si>
  <si>
    <t>8-1</t>
  </si>
  <si>
    <t>Pagode United</t>
  </si>
  <si>
    <t>Amber B</t>
  </si>
  <si>
    <t>Racing Gobi B</t>
  </si>
  <si>
    <t>K Aloysius SC</t>
  </si>
  <si>
    <t>Zwart Hond</t>
  </si>
  <si>
    <t>Atletico JOH</t>
  </si>
  <si>
    <t>Lunatics</t>
  </si>
  <si>
    <t>Royal Zeezicht</t>
  </si>
  <si>
    <t>Schonenberg</t>
  </si>
  <si>
    <t>Zwarte Hond</t>
  </si>
  <si>
    <t>K Anoysius SC</t>
  </si>
  <si>
    <t>#toeschouwer</t>
  </si>
  <si>
    <t>4</t>
  </si>
  <si>
    <t>3</t>
  </si>
  <si>
    <t>5</t>
  </si>
  <si>
    <t>2</t>
  </si>
  <si>
    <t>0</t>
  </si>
  <si>
    <t>1</t>
  </si>
  <si>
    <t>0-12</t>
  </si>
  <si>
    <t>1-0</t>
  </si>
  <si>
    <t>7-2</t>
  </si>
  <si>
    <t>1-5</t>
  </si>
  <si>
    <t>Kon. Aloysius</t>
  </si>
  <si>
    <t>Ekeren Winkelstad</t>
  </si>
  <si>
    <t>Banlieu 2940</t>
  </si>
  <si>
    <t>The Rapido's</t>
  </si>
  <si>
    <t>Sava</t>
  </si>
  <si>
    <t>Manhattan</t>
  </si>
  <si>
    <t xml:space="preserve">Uitgesteld </t>
  </si>
  <si>
    <t>De Kroon</t>
  </si>
  <si>
    <t>Sava C</t>
  </si>
  <si>
    <t>Stabroek United</t>
  </si>
  <si>
    <t>J&amp;M Tolhuis</t>
  </si>
  <si>
    <t>Sporting MXM</t>
  </si>
  <si>
    <t>Molly Blooms B</t>
  </si>
  <si>
    <t>Ruisbroek</t>
  </si>
  <si>
    <t>Royal Borsbeek FC</t>
  </si>
  <si>
    <t>Nieuw Stabroek</t>
  </si>
  <si>
    <t>Royal Borsbeek</t>
  </si>
  <si>
    <t>14u</t>
  </si>
  <si>
    <t>14u30</t>
  </si>
  <si>
    <t>1-2</t>
  </si>
  <si>
    <t>3-3</t>
  </si>
  <si>
    <t>1-8</t>
  </si>
  <si>
    <t>5-3</t>
  </si>
  <si>
    <t>1-9</t>
  </si>
  <si>
    <t>Panda</t>
  </si>
  <si>
    <t>De Pelikaan SV</t>
  </si>
  <si>
    <t>Las Manas</t>
  </si>
  <si>
    <t>Amber E</t>
  </si>
  <si>
    <t>Stabroek United B</t>
  </si>
  <si>
    <t>An Sibhin</t>
  </si>
  <si>
    <t>PVC Gorillaz</t>
  </si>
  <si>
    <t>Brik Pele</t>
  </si>
  <si>
    <t>DK Nieuwmoer</t>
  </si>
  <si>
    <t>Antwerp Boys</t>
  </si>
  <si>
    <t>De Pelikaan</t>
  </si>
  <si>
    <t>Thor Zaat Briel</t>
  </si>
  <si>
    <t>Sava B</t>
  </si>
  <si>
    <t>National</t>
  </si>
  <si>
    <t>12u30</t>
  </si>
  <si>
    <t>Tegen Royal Zeezicht was Ewoud keeper, maar werd als een wissel aangerekend</t>
  </si>
  <si>
    <t>Stabroek United B is omgezet in een 0-5 forfait</t>
  </si>
  <si>
    <t>4-1</t>
  </si>
  <si>
    <t>2-6</t>
  </si>
  <si>
    <t>0-7</t>
  </si>
  <si>
    <t>FC Vino</t>
  </si>
  <si>
    <t>Eintracht Deurne</t>
  </si>
  <si>
    <t>Benne 1980 A</t>
  </si>
  <si>
    <t>Eulegoem</t>
  </si>
  <si>
    <t>Brik pele</t>
  </si>
  <si>
    <t>V.B.</t>
  </si>
  <si>
    <t>Bekermatch 1</t>
  </si>
  <si>
    <t>Bekermatch 2</t>
  </si>
  <si>
    <t>Bekermatch 3?</t>
  </si>
  <si>
    <t>13u30</t>
  </si>
  <si>
    <t>20u</t>
  </si>
  <si>
    <t>12u15</t>
  </si>
  <si>
    <t>Uit</t>
  </si>
  <si>
    <t>3-5</t>
  </si>
  <si>
    <t>4-5</t>
  </si>
  <si>
    <t>Den 144</t>
  </si>
  <si>
    <t>FCK '89</t>
  </si>
  <si>
    <t>12u45</t>
  </si>
  <si>
    <t xml:space="preserve"> </t>
  </si>
  <si>
    <t>0-8</t>
  </si>
  <si>
    <t>0-4</t>
  </si>
  <si>
    <t>3-4</t>
  </si>
  <si>
    <t>3-3 (2-4)</t>
  </si>
  <si>
    <t>7-0</t>
  </si>
  <si>
    <t>Peuchemise</t>
  </si>
  <si>
    <t>Bar Salon</t>
  </si>
  <si>
    <t>Benne 1980 B</t>
  </si>
  <si>
    <t>De Gaauwe Leeuw</t>
  </si>
  <si>
    <t>Racing Gobi A</t>
  </si>
  <si>
    <t>u</t>
  </si>
  <si>
    <t>v</t>
  </si>
  <si>
    <t>g</t>
  </si>
  <si>
    <t>f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</si>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</sst>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[$-413]d/mmm;@"/>
  </numFmts>
  <fonts count="10" x14ac:knownFonts="1"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b/>
      <sz val="10"/>
      <name val="Tahoma"/>
    </font>
    <font>
      <sz val="10"/>
      <name val="Tahoma"/>
    </font>
    <font>
      <sz val="8"/>
      <name val="Arial"/>
      <family val="2"/>
    </font>
    <font>
      <i/>
      <sz val="10"/>
      <name val="Tahoma"/>
      <family val="2"/>
    </font>
    <font>
      <sz val="10"/>
      <color rgb="FF000000"/>
      <name val="Tahoma"/>
      <charset val="1"/>
    </font>
    <font>
      <sz val="10"/>
      <color rgb="FF000000"/>
      <name val="Tahoma"/>
    </font>
  </fonts>
  <fills count="37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14"/>
        <bgColor indexed="33"/>
      </patternFill>
    </fill>
    <fill>
      <patternFill patternType="solid">
        <fgColor indexed="27"/>
        <bgColor indexed="41"/>
      </patternFill>
    </fill>
    <fill>
      <patternFill patternType="solid">
        <fgColor indexed="15"/>
        <bgColor indexed="35"/>
      </patternFill>
    </fill>
    <fill>
      <patternFill patternType="solid">
        <fgColor indexed="50"/>
        <bgColor indexed="51"/>
      </patternFill>
    </fill>
    <fill>
      <patternFill patternType="solid">
        <fgColor indexed="11"/>
        <bgColor indexed="49"/>
      </patternFill>
    </fill>
    <fill>
      <patternFill patternType="solid">
        <fgColor indexed="10"/>
        <bgColor indexed="60"/>
      </patternFill>
    </fill>
    <fill>
      <patternFill patternType="solid">
        <fgColor indexed="42"/>
        <bgColor indexed="27"/>
      </patternFill>
    </fill>
    <fill>
      <patternFill patternType="solid">
        <fgColor theme="5" tint="0.59999389629810485"/>
        <bgColor indexed="27"/>
      </patternFill>
    </fill>
    <fill>
      <patternFill patternType="solid">
        <fgColor theme="5" tint="0.59999389629810485"/>
        <bgColor indexed="22"/>
      </patternFill>
    </fill>
    <fill>
      <patternFill patternType="solid">
        <fgColor theme="9" tint="0.59999389629810485"/>
        <bgColor indexed="22"/>
      </patternFill>
    </fill>
    <fill>
      <patternFill patternType="solid">
        <fgColor theme="9" tint="0.59999389629810485"/>
        <bgColor indexed="27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35"/>
      </patternFill>
    </fill>
    <fill>
      <patternFill patternType="solid">
        <fgColor rgb="FFFF0000"/>
        <bgColor indexed="35"/>
      </patternFill>
    </fill>
    <fill>
      <patternFill patternType="solid">
        <fgColor rgb="FFFFFF00"/>
        <bgColor indexed="35"/>
      </patternFill>
    </fill>
    <fill>
      <patternFill patternType="solid">
        <fgColor rgb="FF7030A0"/>
        <bgColor indexed="35"/>
      </patternFill>
    </fill>
    <fill>
      <patternFill patternType="solid">
        <fgColor theme="4" tint="0.79998168889431442"/>
        <bgColor indexed="41"/>
      </patternFill>
    </fill>
    <fill>
      <patternFill patternType="solid">
        <fgColor rgb="FF00B0F0"/>
        <bgColor indexed="35"/>
      </patternFill>
    </fill>
    <fill>
      <patternFill patternType="solid">
        <fgColor rgb="FF00B050"/>
        <bgColor indexed="49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41"/>
      </patternFill>
    </fill>
  </fills>
  <borders count="7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8"/>
      </left>
      <right style="thin">
        <color indexed="8"/>
      </right>
      <top style="thin">
        <color indexed="64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indexed="8"/>
      </bottom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64"/>
      </top>
      <bottom style="medium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rgb="FF000000"/>
      </bottom>
      <diagonal/>
    </border>
    <border>
      <left style="medium">
        <color indexed="8"/>
      </left>
      <right style="medium">
        <color indexed="8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000000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000000"/>
      </left>
      <right style="medium">
        <color rgb="FF000000"/>
      </right>
      <top style="thin">
        <color indexed="8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28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textRotation="90"/>
      <protection locked="0"/>
    </xf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7" borderId="1" xfId="0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49" fontId="2" fillId="9" borderId="2" xfId="0" applyNumberFormat="1" applyFont="1" applyFill="1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4" borderId="6" xfId="0" applyFont="1" applyFill="1" applyBorder="1" applyAlignment="1" applyProtection="1">
      <alignment horizontal="center" vertical="center"/>
      <protection locked="0"/>
    </xf>
    <xf numFmtId="49" fontId="2" fillId="8" borderId="7" xfId="0" applyNumberFormat="1" applyFont="1" applyFill="1" applyBorder="1" applyAlignment="1" applyProtection="1">
      <alignment horizontal="center" vertical="center" textRotation="90"/>
      <protection locked="0"/>
    </xf>
    <xf numFmtId="0" fontId="2" fillId="0" borderId="7" xfId="0" applyFont="1" applyBorder="1" applyAlignment="1" applyProtection="1">
      <alignment horizontal="center" vertical="center" textRotation="90"/>
      <protection locked="0"/>
    </xf>
    <xf numFmtId="0" fontId="2" fillId="0" borderId="7" xfId="0" applyFont="1" applyBorder="1" applyAlignment="1" applyProtection="1">
      <alignment horizontal="center" vertical="center" textRotation="90" wrapText="1"/>
      <protection locked="0"/>
    </xf>
    <xf numFmtId="0" fontId="2" fillId="0" borderId="7" xfId="0" applyFont="1" applyBorder="1" applyAlignment="1" applyProtection="1">
      <alignment horizontal="center" textRotation="90"/>
      <protection locked="0"/>
    </xf>
    <xf numFmtId="0" fontId="2" fillId="10" borderId="7" xfId="0" applyFont="1" applyFill="1" applyBorder="1" applyAlignment="1" applyProtection="1">
      <alignment horizontal="center" vertical="center" textRotation="90"/>
      <protection locked="0"/>
    </xf>
    <xf numFmtId="49" fontId="2" fillId="10" borderId="7" xfId="0" applyNumberFormat="1" applyFont="1" applyFill="1" applyBorder="1" applyAlignment="1" applyProtection="1">
      <alignment horizontal="center" vertical="center" textRotation="90"/>
      <protection locked="0"/>
    </xf>
    <xf numFmtId="49" fontId="2" fillId="11" borderId="7" xfId="0" applyNumberFormat="1" applyFont="1" applyFill="1" applyBorder="1" applyAlignment="1" applyProtection="1">
      <alignment horizontal="center" vertical="center" textRotation="90"/>
      <protection locked="0"/>
    </xf>
    <xf numFmtId="49" fontId="2" fillId="12" borderId="7" xfId="0" applyNumberFormat="1" applyFont="1" applyFill="1" applyBorder="1" applyAlignment="1" applyProtection="1">
      <alignment horizontal="center" vertical="center" textRotation="90"/>
      <protection locked="0"/>
    </xf>
    <xf numFmtId="49" fontId="2" fillId="13" borderId="7" xfId="0" applyNumberFormat="1" applyFont="1" applyFill="1" applyBorder="1" applyAlignment="1" applyProtection="1">
      <alignment horizontal="center" vertical="center" textRotation="90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2" fillId="13" borderId="8" xfId="0" applyFont="1" applyFill="1" applyBorder="1" applyAlignment="1" applyProtection="1">
      <alignment horizontal="center" vertical="center" textRotation="90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2" fillId="0" borderId="1" xfId="0" applyFont="1" applyBorder="1" applyProtection="1">
      <protection locked="0"/>
    </xf>
    <xf numFmtId="0" fontId="2" fillId="13" borderId="1" xfId="0" applyFont="1" applyFill="1" applyBorder="1" applyAlignment="1" applyProtection="1">
      <alignment vertical="center"/>
      <protection locked="0"/>
    </xf>
    <xf numFmtId="0" fontId="2" fillId="11" borderId="1" xfId="0" applyFont="1" applyFill="1" applyBorder="1" applyAlignment="1" applyProtection="1">
      <alignment vertical="center"/>
      <protection locked="0"/>
    </xf>
    <xf numFmtId="0" fontId="1" fillId="14" borderId="8" xfId="0" applyFont="1" applyFill="1" applyBorder="1" applyAlignment="1" applyProtection="1">
      <alignment horizontal="center" vertical="center"/>
      <protection locked="0"/>
    </xf>
    <xf numFmtId="0" fontId="2" fillId="15" borderId="1" xfId="0" applyFont="1" applyFill="1" applyBorder="1" applyProtection="1">
      <protection locked="0"/>
    </xf>
    <xf numFmtId="0" fontId="0" fillId="0" borderId="7" xfId="0" applyBorder="1"/>
    <xf numFmtId="0" fontId="2" fillId="0" borderId="7" xfId="0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49" fontId="2" fillId="16" borderId="7" xfId="0" applyNumberFormat="1" applyFont="1" applyFill="1" applyBorder="1" applyAlignment="1" applyProtection="1">
      <alignment horizontal="center" vertical="center" textRotation="90"/>
      <protection locked="0"/>
    </xf>
    <xf numFmtId="0" fontId="1" fillId="14" borderId="7" xfId="0" applyFont="1" applyFill="1" applyBorder="1" applyAlignment="1" applyProtection="1">
      <alignment horizontal="center" vertical="center"/>
      <protection locked="0"/>
    </xf>
    <xf numFmtId="49" fontId="2" fillId="18" borderId="7" xfId="0" applyNumberFormat="1" applyFont="1" applyFill="1" applyBorder="1" applyAlignment="1" applyProtection="1">
      <alignment horizontal="center" vertical="center" textRotation="90"/>
      <protection locked="0"/>
    </xf>
    <xf numFmtId="0" fontId="1" fillId="17" borderId="7" xfId="0" applyFont="1" applyFill="1" applyBorder="1" applyAlignment="1" applyProtection="1">
      <alignment horizontal="center" vertical="center"/>
      <protection locked="0"/>
    </xf>
    <xf numFmtId="49" fontId="2" fillId="19" borderId="7" xfId="0" applyNumberFormat="1" applyFont="1" applyFill="1" applyBorder="1" applyAlignment="1" applyProtection="1">
      <alignment horizontal="center" vertical="center" textRotation="90"/>
      <protection locked="0"/>
    </xf>
    <xf numFmtId="49" fontId="2" fillId="20" borderId="7" xfId="0" applyNumberFormat="1" applyFont="1" applyFill="1" applyBorder="1" applyAlignment="1" applyProtection="1">
      <alignment horizontal="center" vertical="center" textRotation="90"/>
      <protection locked="0"/>
    </xf>
    <xf numFmtId="0" fontId="1" fillId="21" borderId="7" xfId="0" applyFont="1" applyFill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49" fontId="2" fillId="22" borderId="7" xfId="0" applyNumberFormat="1" applyFont="1" applyFill="1" applyBorder="1" applyAlignment="1" applyProtection="1">
      <alignment horizontal="center" vertical="center" textRotation="90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 applyProtection="1">
      <alignment horizontal="left" vertical="center"/>
      <protection locked="0"/>
    </xf>
    <xf numFmtId="0" fontId="2" fillId="23" borderId="7" xfId="0" applyFont="1" applyFill="1" applyBorder="1" applyAlignment="1" applyProtection="1">
      <alignment horizontal="center" vertical="center" textRotation="90"/>
      <protection locked="0"/>
    </xf>
    <xf numFmtId="0" fontId="2" fillId="22" borderId="7" xfId="0" applyFont="1" applyFill="1" applyBorder="1" applyAlignment="1" applyProtection="1">
      <alignment horizontal="center" vertical="center" textRotation="90"/>
      <protection locked="0"/>
    </xf>
    <xf numFmtId="49" fontId="2" fillId="14" borderId="7" xfId="0" applyNumberFormat="1" applyFont="1" applyFill="1" applyBorder="1" applyAlignment="1" applyProtection="1">
      <alignment horizontal="center" vertical="center" textRotation="90"/>
      <protection locked="0"/>
    </xf>
    <xf numFmtId="0" fontId="2" fillId="22" borderId="7" xfId="0" applyFont="1" applyFill="1" applyBorder="1" applyAlignment="1" applyProtection="1">
      <alignment horizontal="center" vertical="center" textRotation="90" wrapText="1"/>
      <protection locked="0"/>
    </xf>
    <xf numFmtId="165" fontId="2" fillId="0" borderId="8" xfId="0" applyNumberFormat="1" applyFont="1" applyBorder="1" applyAlignment="1" applyProtection="1">
      <alignment horizontal="center" vertical="center" textRotation="90"/>
      <protection locked="0"/>
    </xf>
    <xf numFmtId="165" fontId="2" fillId="0" borderId="7" xfId="0" applyNumberFormat="1" applyFont="1" applyBorder="1" applyAlignment="1" applyProtection="1">
      <alignment horizontal="center" vertical="center" textRotation="90"/>
      <protection locked="0"/>
    </xf>
    <xf numFmtId="0" fontId="1" fillId="25" borderId="7" xfId="0" applyFont="1" applyFill="1" applyBorder="1" applyAlignment="1" applyProtection="1">
      <alignment horizontal="center" vertical="center"/>
      <protection locked="0"/>
    </xf>
    <xf numFmtId="0" fontId="1" fillId="24" borderId="7" xfId="0" applyFont="1" applyFill="1" applyBorder="1" applyAlignment="1" applyProtection="1">
      <alignment horizontal="center" vertical="center"/>
      <protection locked="0"/>
    </xf>
    <xf numFmtId="0" fontId="2" fillId="22" borderId="13" xfId="0" applyFont="1" applyFill="1" applyBorder="1" applyAlignment="1" applyProtection="1">
      <alignment horizontal="center" vertical="center" textRotation="90"/>
      <protection locked="0"/>
    </xf>
    <xf numFmtId="0" fontId="2" fillId="23" borderId="13" xfId="0" applyFont="1" applyFill="1" applyBorder="1" applyAlignment="1" applyProtection="1">
      <alignment horizontal="center" vertical="center" textRotation="90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2" fillId="0" borderId="7" xfId="0" applyFont="1" applyBorder="1"/>
    <xf numFmtId="0" fontId="1" fillId="24" borderId="8" xfId="0" applyFont="1" applyFill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26" borderId="7" xfId="0" applyFont="1" applyFill="1" applyBorder="1" applyAlignment="1" applyProtection="1">
      <alignment horizontal="center" vertical="center"/>
      <protection locked="0"/>
    </xf>
    <xf numFmtId="0" fontId="1" fillId="14" borderId="1" xfId="0" applyFont="1" applyFill="1" applyBorder="1" applyAlignment="1" applyProtection="1">
      <alignment horizontal="center" vertical="center"/>
      <protection locked="0"/>
    </xf>
    <xf numFmtId="0" fontId="2" fillId="23" borderId="7" xfId="0" applyFont="1" applyFill="1" applyBorder="1" applyAlignment="1" applyProtection="1">
      <alignment horizontal="center" vertical="center" textRotation="90" wrapText="1"/>
      <protection locked="0"/>
    </xf>
    <xf numFmtId="0" fontId="1" fillId="17" borderId="0" xfId="0" applyFont="1" applyFill="1" applyAlignment="1" applyProtection="1">
      <alignment horizontal="center" vertical="center"/>
      <protection locked="0"/>
    </xf>
    <xf numFmtId="0" fontId="0" fillId="17" borderId="0" xfId="0" applyFill="1"/>
    <xf numFmtId="0" fontId="1" fillId="16" borderId="7" xfId="0" applyFont="1" applyFill="1" applyBorder="1" applyAlignment="1" applyProtection="1">
      <alignment horizontal="center" vertical="center"/>
      <protection locked="0"/>
    </xf>
    <xf numFmtId="0" fontId="2" fillId="13" borderId="19" xfId="0" applyFont="1" applyFill="1" applyBorder="1" applyAlignment="1" applyProtection="1">
      <alignment vertical="center"/>
      <protection locked="0"/>
    </xf>
    <xf numFmtId="0" fontId="2" fillId="11" borderId="19" xfId="0" applyFont="1" applyFill="1" applyBorder="1" applyAlignment="1" applyProtection="1">
      <alignment vertical="center"/>
      <protection locked="0"/>
    </xf>
    <xf numFmtId="0" fontId="2" fillId="5" borderId="19" xfId="0" applyFont="1" applyFill="1" applyBorder="1" applyAlignment="1" applyProtection="1">
      <alignment horizontal="left" vertical="center"/>
      <protection locked="0"/>
    </xf>
    <xf numFmtId="0" fontId="2" fillId="15" borderId="19" xfId="0" applyFont="1" applyFill="1" applyBorder="1" applyProtection="1">
      <protection locked="0"/>
    </xf>
    <xf numFmtId="0" fontId="2" fillId="3" borderId="19" xfId="0" applyFont="1" applyFill="1" applyBorder="1" applyProtection="1">
      <protection locked="0"/>
    </xf>
    <xf numFmtId="0" fontId="2" fillId="4" borderId="19" xfId="0" applyFont="1" applyFill="1" applyBorder="1" applyProtection="1">
      <protection locked="0"/>
    </xf>
    <xf numFmtId="0" fontId="2" fillId="6" borderId="19" xfId="0" applyFont="1" applyFill="1" applyBorder="1" applyProtection="1">
      <protection locked="0"/>
    </xf>
    <xf numFmtId="0" fontId="2" fillId="27" borderId="7" xfId="0" applyFont="1" applyFill="1" applyBorder="1" applyAlignment="1" applyProtection="1">
      <alignment horizontal="center" vertical="center" textRotation="90" wrapText="1"/>
      <protection locked="0"/>
    </xf>
    <xf numFmtId="1" fontId="1" fillId="0" borderId="7" xfId="0" applyNumberFormat="1" applyFont="1" applyBorder="1" applyAlignment="1" applyProtection="1">
      <alignment horizontal="center" vertical="center"/>
      <protection locked="0"/>
    </xf>
    <xf numFmtId="1" fontId="2" fillId="27" borderId="7" xfId="0" applyNumberFormat="1" applyFont="1" applyFill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vertical="center"/>
      <protection locked="0"/>
    </xf>
    <xf numFmtId="1" fontId="1" fillId="4" borderId="7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right" vertical="center" indent="1"/>
    </xf>
    <xf numFmtId="0" fontId="0" fillId="0" borderId="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4" xfId="0" applyFont="1" applyBorder="1" applyProtection="1">
      <protection locked="0"/>
    </xf>
    <xf numFmtId="0" fontId="1" fillId="0" borderId="29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" fillId="0" borderId="4" xfId="0" applyFont="1" applyBorder="1"/>
    <xf numFmtId="0" fontId="1" fillId="0" borderId="19" xfId="0" applyFont="1" applyBorder="1" applyAlignment="1">
      <alignment horizontal="center" vertical="center"/>
    </xf>
    <xf numFmtId="0" fontId="2" fillId="28" borderId="19" xfId="0" applyFont="1" applyFill="1" applyBorder="1" applyAlignment="1" applyProtection="1">
      <alignment horizontal="left" vertical="center"/>
      <protection locked="0"/>
    </xf>
    <xf numFmtId="0" fontId="2" fillId="29" borderId="19" xfId="0" applyFont="1" applyFill="1" applyBorder="1" applyAlignment="1" applyProtection="1">
      <alignment horizontal="left" vertical="center"/>
      <protection locked="0"/>
    </xf>
    <xf numFmtId="0" fontId="2" fillId="30" borderId="19" xfId="0" applyFont="1" applyFill="1" applyBorder="1" applyAlignment="1" applyProtection="1">
      <alignment horizontal="left" vertical="center"/>
      <protection locked="0"/>
    </xf>
    <xf numFmtId="0" fontId="2" fillId="31" borderId="19" xfId="0" applyFont="1" applyFill="1" applyBorder="1" applyAlignment="1" applyProtection="1">
      <alignment horizontal="left" vertical="center"/>
      <protection locked="0"/>
    </xf>
    <xf numFmtId="1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6" borderId="32" xfId="0" applyFont="1" applyFill="1" applyBorder="1" applyAlignment="1" applyProtection="1">
      <alignment horizontal="center" vertical="center"/>
      <protection locked="0"/>
    </xf>
    <xf numFmtId="0" fontId="1" fillId="32" borderId="1" xfId="0" applyFont="1" applyFill="1" applyBorder="1" applyAlignment="1" applyProtection="1">
      <alignment horizontal="center" vertical="center"/>
      <protection locked="0"/>
    </xf>
    <xf numFmtId="0" fontId="2" fillId="32" borderId="19" xfId="0" applyFont="1" applyFill="1" applyBorder="1" applyProtection="1">
      <protection locked="0"/>
    </xf>
    <xf numFmtId="0" fontId="1" fillId="15" borderId="1" xfId="0" applyFont="1" applyFill="1" applyBorder="1" applyAlignment="1" applyProtection="1">
      <alignment horizontal="center" vertical="center"/>
      <protection locked="0"/>
    </xf>
    <xf numFmtId="0" fontId="1" fillId="33" borderId="16" xfId="0" applyFont="1" applyFill="1" applyBorder="1" applyAlignment="1" applyProtection="1">
      <alignment horizontal="center" vertical="center"/>
      <protection locked="0"/>
    </xf>
    <xf numFmtId="0" fontId="2" fillId="33" borderId="33" xfId="0" applyFont="1" applyFill="1" applyBorder="1" applyAlignment="1" applyProtection="1">
      <alignment horizontal="left" vertical="center"/>
      <protection locked="0"/>
    </xf>
    <xf numFmtId="0" fontId="0" fillId="0" borderId="7" xfId="0" applyBorder="1" applyAlignment="1">
      <alignment horizontal="center"/>
    </xf>
    <xf numFmtId="0" fontId="1" fillId="17" borderId="20" xfId="0" applyFont="1" applyFill="1" applyBorder="1" applyAlignment="1" applyProtection="1">
      <alignment horizontal="center" vertical="center"/>
      <protection locked="0"/>
    </xf>
    <xf numFmtId="0" fontId="0" fillId="17" borderId="14" xfId="0" applyFill="1" applyBorder="1"/>
    <xf numFmtId="0" fontId="1" fillId="17" borderId="13" xfId="0" applyFont="1" applyFill="1" applyBorder="1" applyAlignment="1" applyProtection="1">
      <alignment horizontal="center" vertical="center"/>
      <protection locked="0"/>
    </xf>
    <xf numFmtId="0" fontId="1" fillId="0" borderId="7" xfId="0" applyFont="1" applyBorder="1" applyAlignment="1">
      <alignment horizontal="center" vertical="center"/>
    </xf>
    <xf numFmtId="0" fontId="0" fillId="0" borderId="1" xfId="0" applyBorder="1"/>
    <xf numFmtId="49" fontId="2" fillId="26" borderId="7" xfId="0" applyNumberFormat="1" applyFont="1" applyFill="1" applyBorder="1" applyAlignment="1" applyProtection="1">
      <alignment horizontal="center" vertical="center" textRotation="90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 applyProtection="1">
      <alignment horizontal="center" vertical="center"/>
      <protection locked="0"/>
    </xf>
    <xf numFmtId="0" fontId="1" fillId="0" borderId="35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6" xfId="0" applyFont="1" applyBorder="1" applyProtection="1">
      <protection locked="0"/>
    </xf>
    <xf numFmtId="49" fontId="4" fillId="19" borderId="7" xfId="0" applyNumberFormat="1" applyFont="1" applyFill="1" applyBorder="1" applyAlignment="1" applyProtection="1">
      <alignment horizontal="center" vertical="center" textRotation="90"/>
      <protection locked="0"/>
    </xf>
    <xf numFmtId="0" fontId="2" fillId="31" borderId="19" xfId="0" applyFont="1" applyFill="1" applyBorder="1" applyAlignment="1" applyProtection="1">
      <alignment horizontal="center" vertical="center" textRotation="90"/>
      <protection locked="0"/>
    </xf>
    <xf numFmtId="0" fontId="2" fillId="0" borderId="2" xfId="0" applyFont="1" applyBorder="1" applyProtection="1">
      <protection locked="0"/>
    </xf>
    <xf numFmtId="165" fontId="2" fillId="0" borderId="36" xfId="0" applyNumberFormat="1" applyFont="1" applyBorder="1" applyAlignment="1" applyProtection="1">
      <alignment horizontal="center" vertical="center" textRotation="90"/>
      <protection locked="0"/>
    </xf>
    <xf numFmtId="165" fontId="2" fillId="0" borderId="13" xfId="0" applyNumberFormat="1" applyFont="1" applyBorder="1" applyAlignment="1" applyProtection="1">
      <alignment horizontal="center" vertical="center" textRotation="90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26" borderId="1" xfId="0" applyFont="1" applyFill="1" applyBorder="1" applyAlignment="1" applyProtection="1">
      <alignment horizontal="center" vertical="center"/>
      <protection locked="0"/>
    </xf>
    <xf numFmtId="0" fontId="4" fillId="23" borderId="7" xfId="0" applyFont="1" applyFill="1" applyBorder="1" applyAlignment="1" applyProtection="1">
      <alignment horizontal="center" vertical="center" textRotation="90"/>
      <protection locked="0"/>
    </xf>
    <xf numFmtId="0" fontId="4" fillId="22" borderId="7" xfId="0" applyFont="1" applyFill="1" applyBorder="1" applyAlignment="1" applyProtection="1">
      <alignment horizontal="center" vertical="center" textRotation="90"/>
      <protection locked="0"/>
    </xf>
    <xf numFmtId="0" fontId="0" fillId="0" borderId="37" xfId="0" applyBorder="1" applyAlignment="1">
      <alignment horizontal="center" vertical="top"/>
    </xf>
    <xf numFmtId="0" fontId="1" fillId="0" borderId="37" xfId="0" applyFont="1" applyBorder="1" applyAlignment="1">
      <alignment horizontal="center" vertical="top"/>
    </xf>
    <xf numFmtId="0" fontId="0" fillId="0" borderId="37" xfId="0" applyBorder="1"/>
    <xf numFmtId="0" fontId="0" fillId="0" borderId="16" xfId="0" applyBorder="1"/>
    <xf numFmtId="0" fontId="0" fillId="0" borderId="4" xfId="0" applyBorder="1"/>
    <xf numFmtId="0" fontId="0" fillId="0" borderId="29" xfId="0" applyBorder="1"/>
    <xf numFmtId="0" fontId="0" fillId="0" borderId="5" xfId="0" applyBorder="1"/>
    <xf numFmtId="0" fontId="0" fillId="0" borderId="4" xfId="0" applyBorder="1" applyAlignment="1">
      <alignment horizontal="center" vertical="top"/>
    </xf>
    <xf numFmtId="0" fontId="1" fillId="0" borderId="37" xfId="0" applyFont="1" applyBorder="1" applyAlignment="1">
      <alignment horizontal="center" vertical="center"/>
    </xf>
    <xf numFmtId="0" fontId="2" fillId="34" borderId="1" xfId="0" applyFont="1" applyFill="1" applyBorder="1" applyProtection="1">
      <protection locked="0"/>
    </xf>
    <xf numFmtId="0" fontId="2" fillId="13" borderId="38" xfId="0" applyFont="1" applyFill="1" applyBorder="1" applyAlignment="1" applyProtection="1">
      <alignment vertical="center"/>
      <protection locked="0"/>
    </xf>
    <xf numFmtId="0" fontId="2" fillId="11" borderId="38" xfId="0" applyFont="1" applyFill="1" applyBorder="1" applyAlignment="1" applyProtection="1">
      <alignment vertical="center"/>
      <protection locked="0"/>
    </xf>
    <xf numFmtId="0" fontId="2" fillId="33" borderId="39" xfId="0" applyFont="1" applyFill="1" applyBorder="1" applyAlignment="1" applyProtection="1">
      <alignment horizontal="left" vertical="center"/>
      <protection locked="0"/>
    </xf>
    <xf numFmtId="0" fontId="2" fillId="15" borderId="38" xfId="0" applyFont="1" applyFill="1" applyBorder="1" applyProtection="1">
      <protection locked="0"/>
    </xf>
    <xf numFmtId="0" fontId="2" fillId="3" borderId="38" xfId="0" applyFont="1" applyFill="1" applyBorder="1" applyProtection="1">
      <protection locked="0"/>
    </xf>
    <xf numFmtId="0" fontId="2" fillId="32" borderId="38" xfId="0" applyFont="1" applyFill="1" applyBorder="1" applyProtection="1">
      <protection locked="0"/>
    </xf>
    <xf numFmtId="0" fontId="2" fillId="6" borderId="38" xfId="0" applyFont="1" applyFill="1" applyBorder="1" applyProtection="1">
      <protection locked="0"/>
    </xf>
    <xf numFmtId="0" fontId="2" fillId="29" borderId="38" xfId="0" applyFont="1" applyFill="1" applyBorder="1" applyAlignment="1" applyProtection="1">
      <alignment horizontal="left" vertical="center"/>
      <protection locked="0"/>
    </xf>
    <xf numFmtId="0" fontId="2" fillId="30" borderId="38" xfId="0" applyFont="1" applyFill="1" applyBorder="1" applyAlignment="1" applyProtection="1">
      <alignment horizontal="left" vertical="center"/>
      <protection locked="0"/>
    </xf>
    <xf numFmtId="0" fontId="2" fillId="28" borderId="40" xfId="0" applyFont="1" applyFill="1" applyBorder="1" applyAlignment="1" applyProtection="1">
      <alignment horizontal="left" vertical="center"/>
      <protection locked="0"/>
    </xf>
    <xf numFmtId="0" fontId="2" fillId="31" borderId="41" xfId="0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>
      <alignment horizontal="center"/>
    </xf>
    <xf numFmtId="49" fontId="2" fillId="9" borderId="1" xfId="0" applyNumberFormat="1" applyFont="1" applyFill="1" applyBorder="1" applyAlignment="1">
      <alignment horizontal="center" vertical="center" textRotation="90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" fillId="26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" fontId="1" fillId="35" borderId="7" xfId="0" applyNumberFormat="1" applyFont="1" applyFill="1" applyBorder="1" applyAlignment="1" applyProtection="1">
      <alignment horizontal="center" vertical="center" wrapText="1"/>
      <protection locked="0"/>
    </xf>
    <xf numFmtId="1" fontId="1" fillId="26" borderId="47" xfId="0" applyNumberFormat="1" applyFont="1" applyFill="1" applyBorder="1" applyAlignment="1" applyProtection="1">
      <alignment horizontal="center" vertical="center" wrapText="1"/>
      <protection locked="0"/>
    </xf>
    <xf numFmtId="1" fontId="1" fillId="26" borderId="48" xfId="0" applyNumberFormat="1" applyFont="1" applyFill="1" applyBorder="1" applyAlignment="1" applyProtection="1">
      <alignment horizontal="center" vertical="center" wrapText="1"/>
      <protection locked="0"/>
    </xf>
    <xf numFmtId="0" fontId="1" fillId="36" borderId="1" xfId="0" applyFont="1" applyFill="1" applyBorder="1" applyAlignment="1" applyProtection="1">
      <alignment horizontal="center" vertical="center"/>
      <protection locked="0"/>
    </xf>
    <xf numFmtId="0" fontId="2" fillId="36" borderId="1" xfId="0" applyFont="1" applyFill="1" applyBorder="1" applyProtection="1">
      <protection locked="0"/>
    </xf>
    <xf numFmtId="1" fontId="0" fillId="0" borderId="0" xfId="0" applyNumberFormat="1" applyProtection="1">
      <protection locked="0"/>
    </xf>
    <xf numFmtId="0" fontId="1" fillId="0" borderId="31" xfId="0" applyFont="1" applyBorder="1" applyProtection="1">
      <protection locked="0"/>
    </xf>
    <xf numFmtId="0" fontId="1" fillId="4" borderId="7" xfId="0" applyFont="1" applyFill="1" applyBorder="1" applyAlignment="1" applyProtection="1">
      <alignment horizontal="center" vertical="center"/>
      <protection locked="0"/>
    </xf>
    <xf numFmtId="0" fontId="1" fillId="0" borderId="49" xfId="0" applyFont="1" applyBorder="1" applyAlignment="1" applyProtection="1">
      <alignment horizontal="center" vertical="center"/>
      <protection locked="0"/>
    </xf>
    <xf numFmtId="0" fontId="1" fillId="4" borderId="44" xfId="0" applyFont="1" applyFill="1" applyBorder="1" applyAlignment="1" applyProtection="1">
      <alignment horizontal="center" vertical="center"/>
      <protection locked="0"/>
    </xf>
    <xf numFmtId="0" fontId="1" fillId="4" borderId="45" xfId="0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>
      <alignment horizontal="center" vertical="top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7" xfId="0" applyFont="1" applyBorder="1"/>
    <xf numFmtId="0" fontId="2" fillId="0" borderId="3" xfId="0" applyFont="1" applyBorder="1" applyAlignment="1" applyProtection="1">
      <alignment horizontal="center" vertical="center"/>
      <protection locked="0"/>
    </xf>
    <xf numFmtId="0" fontId="2" fillId="31" borderId="29" xfId="0" applyFont="1" applyFill="1" applyBorder="1" applyAlignment="1" applyProtection="1">
      <alignment horizontal="left" vertical="center"/>
      <protection locked="0"/>
    </xf>
    <xf numFmtId="0" fontId="3" fillId="0" borderId="50" xfId="0" applyFont="1" applyBorder="1" applyAlignment="1">
      <alignment horizont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5" fillId="4" borderId="7" xfId="0" applyFont="1" applyFill="1" applyBorder="1" applyAlignment="1" applyProtection="1">
      <alignment horizontal="center" vertical="center"/>
      <protection locked="0"/>
    </xf>
    <xf numFmtId="0" fontId="1" fillId="0" borderId="16" xfId="0" applyFont="1" applyBorder="1" applyAlignment="1">
      <alignment horizontal="center" vertical="center"/>
    </xf>
    <xf numFmtId="0" fontId="3" fillId="16" borderId="9" xfId="0" applyFont="1" applyFill="1" applyBorder="1" applyAlignment="1">
      <alignment horizontal="center" vertical="center"/>
    </xf>
    <xf numFmtId="0" fontId="2" fillId="13" borderId="56" xfId="0" applyFont="1" applyFill="1" applyBorder="1" applyAlignment="1" applyProtection="1">
      <alignment vertical="center"/>
      <protection locked="0"/>
    </xf>
    <xf numFmtId="0" fontId="2" fillId="11" borderId="56" xfId="0" applyFont="1" applyFill="1" applyBorder="1" applyAlignment="1" applyProtection="1">
      <alignment vertical="center"/>
      <protection locked="0"/>
    </xf>
    <xf numFmtId="0" fontId="5" fillId="0" borderId="56" xfId="0" applyFont="1" applyBorder="1"/>
    <xf numFmtId="0" fontId="2" fillId="33" borderId="56" xfId="0" applyFont="1" applyFill="1" applyBorder="1" applyAlignment="1" applyProtection="1">
      <alignment horizontal="left" vertical="center"/>
      <protection locked="0"/>
    </xf>
    <xf numFmtId="0" fontId="2" fillId="15" borderId="56" xfId="0" applyFont="1" applyFill="1" applyBorder="1" applyProtection="1">
      <protection locked="0"/>
    </xf>
    <xf numFmtId="0" fontId="2" fillId="3" borderId="56" xfId="0" applyFont="1" applyFill="1" applyBorder="1" applyProtection="1">
      <protection locked="0"/>
    </xf>
    <xf numFmtId="0" fontId="2" fillId="32" borderId="56" xfId="0" applyFont="1" applyFill="1" applyBorder="1" applyProtection="1">
      <protection locked="0"/>
    </xf>
    <xf numFmtId="0" fontId="2" fillId="6" borderId="56" xfId="0" applyFont="1" applyFill="1" applyBorder="1" applyProtection="1">
      <protection locked="0"/>
    </xf>
    <xf numFmtId="0" fontId="0" fillId="0" borderId="8" xfId="0" applyBorder="1" applyAlignment="1">
      <alignment horizontal="center"/>
    </xf>
    <xf numFmtId="0" fontId="1" fillId="33" borderId="33" xfId="0" applyFont="1" applyFill="1" applyBorder="1" applyAlignment="1" applyProtection="1">
      <alignment horizontal="center" vertical="center"/>
      <protection locked="0"/>
    </xf>
    <xf numFmtId="0" fontId="1" fillId="15" borderId="19" xfId="0" applyFont="1" applyFill="1" applyBorder="1" applyAlignment="1" applyProtection="1">
      <alignment horizontal="center" vertical="center"/>
      <protection locked="0"/>
    </xf>
    <xf numFmtId="0" fontId="1" fillId="3" borderId="19" xfId="0" applyFont="1" applyFill="1" applyBorder="1" applyAlignment="1" applyProtection="1">
      <alignment horizontal="center" vertical="center"/>
      <protection locked="0"/>
    </xf>
    <xf numFmtId="0" fontId="1" fillId="32" borderId="19" xfId="0" applyFont="1" applyFill="1" applyBorder="1" applyAlignment="1" applyProtection="1">
      <alignment horizontal="center" vertical="center"/>
      <protection locked="0"/>
    </xf>
    <xf numFmtId="0" fontId="1" fillId="6" borderId="57" xfId="0" applyFont="1" applyFill="1" applyBorder="1" applyAlignment="1" applyProtection="1">
      <alignment horizontal="center" vertical="center"/>
      <protection locked="0"/>
    </xf>
    <xf numFmtId="0" fontId="1" fillId="0" borderId="56" xfId="0" applyFont="1" applyBorder="1" applyProtection="1">
      <protection locked="0"/>
    </xf>
    <xf numFmtId="0" fontId="8" fillId="0" borderId="56" xfId="0" applyFont="1" applyBorder="1"/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2" xfId="0" applyFont="1" applyBorder="1" applyProtection="1">
      <protection locked="0"/>
    </xf>
    <xf numFmtId="0" fontId="1" fillId="0" borderId="58" xfId="0" applyFont="1" applyBorder="1" applyAlignment="1" applyProtection="1">
      <alignment horizontal="center" vertical="center"/>
      <protection locked="0"/>
    </xf>
    <xf numFmtId="0" fontId="1" fillId="4" borderId="59" xfId="0" applyFont="1" applyFill="1" applyBorder="1" applyAlignment="1" applyProtection="1">
      <alignment horizontal="center" vertical="center"/>
      <protection locked="0"/>
    </xf>
    <xf numFmtId="0" fontId="1" fillId="0" borderId="60" xfId="0" applyFont="1" applyBorder="1" applyProtection="1">
      <protection locked="0"/>
    </xf>
    <xf numFmtId="0" fontId="1" fillId="0" borderId="62" xfId="0" applyFont="1" applyBorder="1" applyAlignment="1" applyProtection="1">
      <alignment horizontal="center" vertical="center"/>
      <protection locked="0"/>
    </xf>
    <xf numFmtId="0" fontId="1" fillId="4" borderId="63" xfId="0" applyFont="1" applyFill="1" applyBorder="1" applyAlignment="1" applyProtection="1">
      <alignment horizontal="center" vertical="center"/>
      <protection locked="0"/>
    </xf>
    <xf numFmtId="0" fontId="1" fillId="0" borderId="65" xfId="0" applyFont="1" applyBorder="1" applyAlignment="1" applyProtection="1">
      <alignment horizontal="center" vertical="center"/>
      <protection locked="0"/>
    </xf>
    <xf numFmtId="0" fontId="1" fillId="0" borderId="66" xfId="0" applyFont="1" applyBorder="1" applyAlignment="1" applyProtection="1">
      <alignment horizontal="center" vertical="center"/>
      <protection locked="0"/>
    </xf>
    <xf numFmtId="0" fontId="1" fillId="0" borderId="64" xfId="0" applyFont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26" borderId="8" xfId="0" applyFont="1" applyFill="1" applyBorder="1" applyAlignment="1" applyProtection="1">
      <alignment horizontal="center" vertical="center"/>
      <protection locked="0"/>
    </xf>
    <xf numFmtId="0" fontId="1" fillId="0" borderId="61" xfId="0" applyFont="1" applyBorder="1" applyAlignment="1" applyProtection="1">
      <alignment horizontal="center" vertical="center"/>
      <protection locked="0"/>
    </xf>
    <xf numFmtId="0" fontId="1" fillId="0" borderId="66" xfId="0" applyFont="1" applyBorder="1"/>
    <xf numFmtId="0" fontId="1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4" fillId="16" borderId="7" xfId="0" applyNumberFormat="1" applyFont="1" applyFill="1" applyBorder="1" applyAlignment="1" applyProtection="1">
      <alignment horizontal="center" vertical="center" textRotation="90"/>
      <protection locked="0"/>
    </xf>
    <xf numFmtId="0" fontId="4" fillId="4" borderId="59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0" fontId="1" fillId="0" borderId="16" xfId="0" applyFont="1" applyBorder="1"/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2" xfId="0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56" xfId="0" applyFont="1" applyBorder="1" applyAlignment="1" applyProtection="1">
      <alignment horizontal="center" vertical="center"/>
      <protection locked="0"/>
    </xf>
    <xf numFmtId="0" fontId="1" fillId="26" borderId="19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26" borderId="56" xfId="0" applyFont="1" applyFill="1" applyBorder="1" applyAlignment="1" applyProtection="1">
      <alignment horizontal="center" vertical="center"/>
      <protection locked="0"/>
    </xf>
    <xf numFmtId="0" fontId="8" fillId="0" borderId="72" xfId="0" applyFont="1" applyBorder="1"/>
    <xf numFmtId="0" fontId="8" fillId="0" borderId="60" xfId="0" applyFont="1" applyBorder="1"/>
    <xf numFmtId="0" fontId="1" fillId="0" borderId="72" xfId="0" applyFont="1" applyBorder="1" applyProtection="1"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0" fontId="1" fillId="26" borderId="73" xfId="0" applyFont="1" applyFill="1" applyBorder="1" applyAlignment="1" applyProtection="1">
      <alignment horizontal="center" vertical="center"/>
      <protection locked="0"/>
    </xf>
    <xf numFmtId="0" fontId="1" fillId="26" borderId="16" xfId="0" applyFont="1" applyFill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0" fontId="0" fillId="0" borderId="14" xfId="0" applyBorder="1"/>
    <xf numFmtId="0" fontId="1" fillId="0" borderId="8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48B8D-7CB3-488F-83A0-AF9D921B341C}">
  <dimension ref="A1:BO56"/>
  <sheetViews>
    <sheetView tabSelected="1" zoomScale="70" zoomScaleNormal="70" workbookViewId="0">
      <selection activeCell="W7" sqref="W7:W31"/>
    </sheetView>
  </sheetViews>
  <sheetFormatPr defaultColWidth="9.109375" defaultRowHeight="13.2" x14ac:dyDescent="0.25"/>
  <cols>
    <col min="2" max="2" width="21.44140625" customWidth="1"/>
    <col min="3" max="65" width="7.44140625" customWidth="1"/>
  </cols>
  <sheetData>
    <row r="1" spans="1:67" x14ac:dyDescent="0.25">
      <c r="C1" t="s">
        <v>296</v>
      </c>
      <c r="D1" t="s">
        <v>297</v>
      </c>
      <c r="E1" t="s">
        <v>296</v>
      </c>
      <c r="F1" t="s">
        <v>296</v>
      </c>
      <c r="G1" t="s">
        <v>296</v>
      </c>
      <c r="H1" t="s">
        <v>296</v>
      </c>
      <c r="I1" t="s">
        <v>296</v>
      </c>
      <c r="J1" t="s">
        <v>50</v>
      </c>
      <c r="K1" t="s">
        <v>296</v>
      </c>
      <c r="L1" t="s">
        <v>296</v>
      </c>
      <c r="M1" t="s">
        <v>50</v>
      </c>
      <c r="N1" t="s">
        <v>296</v>
      </c>
      <c r="O1" t="s">
        <v>50</v>
      </c>
      <c r="P1" t="s">
        <v>50</v>
      </c>
      <c r="Q1" t="s">
        <v>50</v>
      </c>
      <c r="R1" t="s">
        <v>296</v>
      </c>
      <c r="S1" t="s">
        <v>297</v>
      </c>
      <c r="T1" t="s">
        <v>297</v>
      </c>
      <c r="U1" t="s">
        <v>296</v>
      </c>
      <c r="V1" t="s">
        <v>297</v>
      </c>
    </row>
    <row r="2" spans="1:67" x14ac:dyDescent="0.25">
      <c r="C2" t="s">
        <v>295</v>
      </c>
      <c r="D2" t="s">
        <v>52</v>
      </c>
      <c r="E2" t="s">
        <v>295</v>
      </c>
      <c r="F2" t="s">
        <v>52</v>
      </c>
      <c r="G2" t="s">
        <v>52</v>
      </c>
      <c r="H2" t="s">
        <v>295</v>
      </c>
      <c r="I2" t="s">
        <v>295</v>
      </c>
      <c r="J2" t="s">
        <v>52</v>
      </c>
      <c r="K2" t="s">
        <v>52</v>
      </c>
      <c r="L2" t="s">
        <v>295</v>
      </c>
      <c r="M2" t="s">
        <v>52</v>
      </c>
      <c r="N2" t="s">
        <v>52</v>
      </c>
      <c r="O2" t="s">
        <v>295</v>
      </c>
      <c r="P2" t="s">
        <v>52</v>
      </c>
      <c r="Q2" t="s">
        <v>295</v>
      </c>
      <c r="R2" t="s">
        <v>52</v>
      </c>
      <c r="S2" t="s">
        <v>52</v>
      </c>
      <c r="T2" t="s">
        <v>295</v>
      </c>
      <c r="U2" t="s">
        <v>295</v>
      </c>
      <c r="V2" t="s">
        <v>295</v>
      </c>
      <c r="W2" t="s">
        <v>295</v>
      </c>
      <c r="X2" t="s">
        <v>295</v>
      </c>
      <c r="Y2" t="s">
        <v>295</v>
      </c>
      <c r="Z2" t="s">
        <v>295</v>
      </c>
      <c r="AA2" t="s">
        <v>295</v>
      </c>
    </row>
    <row r="3" spans="1:67" ht="48" customHeight="1" x14ac:dyDescent="0.25">
      <c r="A3" s="3"/>
      <c r="B3" s="4"/>
      <c r="C3" s="58" t="s">
        <v>0</v>
      </c>
      <c r="D3" s="73" t="s">
        <v>1</v>
      </c>
      <c r="E3" s="58" t="s">
        <v>2</v>
      </c>
      <c r="F3" s="58" t="s">
        <v>3</v>
      </c>
      <c r="G3" s="254" t="s">
        <v>4</v>
      </c>
      <c r="H3" s="254" t="s">
        <v>5</v>
      </c>
      <c r="I3" s="254" t="s">
        <v>6</v>
      </c>
      <c r="J3" s="154" t="s">
        <v>7</v>
      </c>
      <c r="K3" s="254" t="s">
        <v>8</v>
      </c>
      <c r="L3" s="58" t="s">
        <v>0</v>
      </c>
      <c r="M3" s="154" t="s">
        <v>9</v>
      </c>
      <c r="N3" s="254" t="s">
        <v>10</v>
      </c>
      <c r="O3" s="154" t="s">
        <v>10</v>
      </c>
      <c r="P3" s="154" t="s">
        <v>7</v>
      </c>
      <c r="Q3" s="154" t="s">
        <v>11</v>
      </c>
      <c r="R3" s="254" t="s">
        <v>12</v>
      </c>
      <c r="S3" s="73" t="s">
        <v>13</v>
      </c>
      <c r="T3" s="73" t="s">
        <v>13</v>
      </c>
      <c r="U3" s="58" t="s">
        <v>0</v>
      </c>
      <c r="V3" s="73" t="s">
        <v>1</v>
      </c>
      <c r="W3" s="147"/>
      <c r="X3" s="147"/>
      <c r="Y3" s="147"/>
      <c r="Z3" s="147"/>
      <c r="AA3" s="147"/>
      <c r="AB3" s="5"/>
      <c r="AC3" s="6"/>
      <c r="AD3" s="6"/>
      <c r="AE3" s="6"/>
      <c r="AF3" s="6"/>
      <c r="AG3" s="6"/>
      <c r="AH3" s="6"/>
      <c r="AI3" s="6"/>
      <c r="AJ3" s="6"/>
    </row>
    <row r="4" spans="1:67" ht="103.5" customHeight="1" x14ac:dyDescent="0.25">
      <c r="A4" s="3"/>
      <c r="B4" s="7"/>
      <c r="C4" s="79" t="s">
        <v>14</v>
      </c>
      <c r="D4" s="80" t="s">
        <v>15</v>
      </c>
      <c r="E4" s="79" t="s">
        <v>16</v>
      </c>
      <c r="F4" s="80" t="s">
        <v>17</v>
      </c>
      <c r="G4" s="80" t="s">
        <v>18</v>
      </c>
      <c r="H4" s="79" t="s">
        <v>19</v>
      </c>
      <c r="I4" s="79" t="s">
        <v>20</v>
      </c>
      <c r="J4" s="80" t="s">
        <v>21</v>
      </c>
      <c r="K4" s="80" t="s">
        <v>22</v>
      </c>
      <c r="L4" s="79" t="s">
        <v>21</v>
      </c>
      <c r="M4" s="80" t="s">
        <v>23</v>
      </c>
      <c r="N4" s="80" t="s">
        <v>14</v>
      </c>
      <c r="O4" s="79" t="s">
        <v>15</v>
      </c>
      <c r="P4" s="80" t="s">
        <v>16</v>
      </c>
      <c r="Q4" s="79" t="s">
        <v>18</v>
      </c>
      <c r="R4" s="80" t="s">
        <v>19</v>
      </c>
      <c r="S4" s="80" t="s">
        <v>20</v>
      </c>
      <c r="T4" s="79" t="s">
        <v>17</v>
      </c>
      <c r="U4" s="79" t="s">
        <v>22</v>
      </c>
      <c r="V4" s="79" t="s">
        <v>23</v>
      </c>
      <c r="W4" s="79" t="s">
        <v>24</v>
      </c>
      <c r="X4" s="79" t="s">
        <v>25</v>
      </c>
      <c r="Y4" s="79" t="s">
        <v>26</v>
      </c>
      <c r="Z4" s="79" t="s">
        <v>27</v>
      </c>
      <c r="AA4" s="79" t="s">
        <v>28</v>
      </c>
      <c r="AC4" s="100" t="s">
        <v>29</v>
      </c>
      <c r="AD4" s="100" t="s">
        <v>30</v>
      </c>
      <c r="AE4" s="100" t="s">
        <v>31</v>
      </c>
      <c r="AF4" s="100" t="s">
        <v>32</v>
      </c>
      <c r="AG4" s="100" t="s">
        <v>33</v>
      </c>
      <c r="AK4" s="100" t="s">
        <v>34</v>
      </c>
      <c r="AN4" s="80" t="str">
        <f t="shared" ref="AN4:AY4" si="0">C4</f>
        <v>Chossel Sport</v>
      </c>
      <c r="AO4" s="79" t="str">
        <f t="shared" si="0"/>
        <v>Bacchus</v>
      </c>
      <c r="AP4" s="80" t="str">
        <f t="shared" si="0"/>
        <v>OBB</v>
      </c>
      <c r="AQ4" s="79" t="str">
        <f t="shared" si="0"/>
        <v>Amber G</v>
      </c>
      <c r="AR4" s="80" t="str">
        <f t="shared" si="0"/>
        <v>AC De Heide</v>
      </c>
      <c r="AS4" s="79" t="str">
        <f t="shared" si="0"/>
        <v>Excelsior 81</v>
      </c>
      <c r="AT4" s="80" t="str">
        <f t="shared" si="0"/>
        <v>Katastroof</v>
      </c>
      <c r="AU4" s="79" t="str">
        <f t="shared" si="0"/>
        <v>Sporting Olympia</v>
      </c>
      <c r="AV4" s="80" t="str">
        <f t="shared" si="0"/>
        <v>Ruisbroek Next</v>
      </c>
      <c r="AW4" s="79" t="str">
        <f t="shared" si="0"/>
        <v>Sporting Olympia</v>
      </c>
      <c r="AX4" s="80" t="str">
        <f t="shared" si="0"/>
        <v>Kloosterstraat</v>
      </c>
      <c r="AY4" s="79" t="str">
        <f t="shared" si="0"/>
        <v>Chossel Sport</v>
      </c>
      <c r="AZ4" s="80" t="str">
        <f>S4</f>
        <v>Katastroof</v>
      </c>
      <c r="BA4" s="79" t="str">
        <f>O4</f>
        <v>Bacchus</v>
      </c>
      <c r="BB4" s="80" t="str">
        <f>U4</f>
        <v>Ruisbroek Next</v>
      </c>
      <c r="BC4" s="79" t="str">
        <f>P4</f>
        <v>OBB</v>
      </c>
      <c r="BD4" s="79" t="str">
        <f>T4</f>
        <v>Amber G</v>
      </c>
      <c r="BE4" s="80" t="str">
        <f>Q4</f>
        <v>AC De Heide</v>
      </c>
      <c r="BF4" s="80" t="str">
        <f>R4</f>
        <v>Excelsior 81</v>
      </c>
      <c r="BG4" s="79" t="str">
        <f>V4</f>
        <v>Kloosterstraat</v>
      </c>
      <c r="BH4" s="79" t="s">
        <v>35</v>
      </c>
      <c r="BI4" s="79" t="s">
        <v>35</v>
      </c>
      <c r="BJ4" s="79" t="s">
        <v>36</v>
      </c>
      <c r="BK4" s="79" t="s">
        <v>37</v>
      </c>
      <c r="BL4" s="79" t="s">
        <v>38</v>
      </c>
    </row>
    <row r="5" spans="1:67" ht="51.6" customHeight="1" x14ac:dyDescent="0.25">
      <c r="A5" s="3"/>
      <c r="B5" s="46" t="s">
        <v>39</v>
      </c>
      <c r="C5" s="75">
        <v>45899</v>
      </c>
      <c r="D5" s="75">
        <v>45906</v>
      </c>
      <c r="E5" s="75">
        <v>45548</v>
      </c>
      <c r="F5" s="75">
        <v>45555</v>
      </c>
      <c r="G5" s="75">
        <v>45934</v>
      </c>
      <c r="H5" s="75">
        <v>45941</v>
      </c>
      <c r="I5" s="75">
        <v>45948</v>
      </c>
      <c r="J5" s="75">
        <v>45955</v>
      </c>
      <c r="K5" s="75">
        <v>45969</v>
      </c>
      <c r="L5" s="75">
        <v>45976</v>
      </c>
      <c r="M5" s="75">
        <v>45983</v>
      </c>
      <c r="N5" s="75">
        <v>45990</v>
      </c>
      <c r="O5" s="75">
        <v>45997</v>
      </c>
      <c r="P5" s="75">
        <v>46004</v>
      </c>
      <c r="Q5" s="75">
        <v>46046</v>
      </c>
      <c r="R5" s="75">
        <v>46053</v>
      </c>
      <c r="S5" s="75">
        <v>46060</v>
      </c>
      <c r="T5" s="75">
        <v>46067</v>
      </c>
      <c r="U5" s="75">
        <v>46081</v>
      </c>
      <c r="V5" s="75">
        <v>46095</v>
      </c>
      <c r="W5" s="76">
        <v>46102</v>
      </c>
      <c r="X5" s="76">
        <v>46109</v>
      </c>
      <c r="Y5" s="76">
        <v>46130</v>
      </c>
      <c r="Z5" s="76">
        <v>46137</v>
      </c>
      <c r="AA5" s="76"/>
      <c r="AB5" s="5"/>
      <c r="AC5" s="6"/>
      <c r="AD5" s="6"/>
      <c r="AE5" s="6"/>
      <c r="AF5" s="6"/>
      <c r="AG5" s="6"/>
      <c r="AH5" s="6"/>
      <c r="AI5" s="6"/>
      <c r="AN5" s="6"/>
    </row>
    <row r="6" spans="1:67" ht="36" customHeight="1" x14ac:dyDescent="0.25">
      <c r="A6" s="3"/>
      <c r="B6" s="156"/>
      <c r="C6" s="157" t="s">
        <v>40</v>
      </c>
      <c r="D6" s="157" t="s">
        <v>41</v>
      </c>
      <c r="E6" s="157" t="s">
        <v>42</v>
      </c>
      <c r="F6" s="157" t="s">
        <v>41</v>
      </c>
      <c r="G6" s="157" t="s">
        <v>41</v>
      </c>
      <c r="H6" s="158" t="s">
        <v>42</v>
      </c>
      <c r="I6" s="157" t="s">
        <v>42</v>
      </c>
      <c r="J6" s="158" t="s">
        <v>41</v>
      </c>
      <c r="K6" s="157" t="s">
        <v>41</v>
      </c>
      <c r="L6" s="158" t="s">
        <v>42</v>
      </c>
      <c r="M6" s="157" t="s">
        <v>41</v>
      </c>
      <c r="N6" s="158" t="s">
        <v>41</v>
      </c>
      <c r="O6" s="158" t="s">
        <v>43</v>
      </c>
      <c r="P6" s="158" t="s">
        <v>41</v>
      </c>
      <c r="Q6" s="157" t="s">
        <v>40</v>
      </c>
      <c r="R6" s="157" t="s">
        <v>41</v>
      </c>
      <c r="S6" s="157" t="s">
        <v>41</v>
      </c>
      <c r="T6" s="158" t="s">
        <v>42</v>
      </c>
      <c r="U6" s="157" t="s">
        <v>44</v>
      </c>
      <c r="V6" s="157" t="s">
        <v>45</v>
      </c>
      <c r="W6" s="76" t="s">
        <v>46</v>
      </c>
      <c r="X6" s="76" t="s">
        <v>43</v>
      </c>
      <c r="Y6" s="76" t="s">
        <v>41</v>
      </c>
      <c r="Z6" s="76"/>
      <c r="AA6" s="76"/>
      <c r="AB6" s="5"/>
      <c r="AC6" s="6"/>
      <c r="AD6" s="6"/>
      <c r="AE6" s="6"/>
      <c r="AF6" s="6"/>
      <c r="AG6" s="6"/>
      <c r="AH6" s="6"/>
      <c r="AI6" s="6"/>
      <c r="AN6" s="6"/>
    </row>
    <row r="7" spans="1:67" x14ac:dyDescent="0.25">
      <c r="A7" s="3">
        <v>1</v>
      </c>
      <c r="B7" s="283" t="s">
        <v>47</v>
      </c>
      <c r="C7" s="159"/>
      <c r="D7" s="160" t="s">
        <v>48</v>
      </c>
      <c r="E7" s="159"/>
      <c r="F7" s="159"/>
      <c r="G7" s="159"/>
      <c r="H7" s="9"/>
      <c r="I7" s="9"/>
      <c r="J7" s="9"/>
      <c r="K7" s="159"/>
      <c r="L7" s="9" t="s">
        <v>48</v>
      </c>
      <c r="M7" s="9"/>
      <c r="N7" s="9"/>
      <c r="O7" s="9"/>
      <c r="P7" s="9" t="s">
        <v>48</v>
      </c>
      <c r="Q7" s="9"/>
      <c r="R7" s="9"/>
      <c r="S7" s="9"/>
      <c r="T7" s="9"/>
      <c r="U7" s="9" t="s">
        <v>48</v>
      </c>
      <c r="V7" s="9"/>
      <c r="W7" s="45"/>
      <c r="X7" s="45"/>
      <c r="Y7" s="285"/>
      <c r="Z7" s="45"/>
      <c r="AA7" s="45"/>
      <c r="AB7" s="105">
        <f t="shared" ref="AB7:AB38" si="1">SUM(COUNTIF(C7:AA7,"h"),COUNTIF(C7:AA7,"w"),COUNTIF(C7:AA7,"k"),COUNTIF(C7:AA7,"t"))</f>
        <v>4</v>
      </c>
      <c r="AC7" s="101">
        <f t="shared" ref="AC7:AC38" si="2">COUNTIF(C7:AA7,"w")</f>
        <v>0</v>
      </c>
      <c r="AD7" s="101">
        <f t="shared" ref="AD7:AD37" si="3">COUNTIF(C7:AA7,"k")</f>
        <v>0</v>
      </c>
      <c r="AE7" s="101">
        <f t="shared" ref="AE7:AE37" si="4">BM7</f>
        <v>-3</v>
      </c>
      <c r="AF7" s="101">
        <f t="shared" ref="AF7:AF37" si="5">COUNTIF(C7:AA7,"t")</f>
        <v>0</v>
      </c>
      <c r="AG7" s="102">
        <f t="shared" ref="AG7:AG37" si="6">(AC7/(AB7+AE7-AF7-AD7))*100</f>
        <v>0</v>
      </c>
      <c r="AH7" s="6"/>
      <c r="AI7" s="6"/>
      <c r="AK7" s="195">
        <f t="shared" ref="AK7:AK37" si="7">AB7-AF7</f>
        <v>4</v>
      </c>
      <c r="AN7" s="6">
        <f t="shared" ref="AN7:AN37" si="8">IF(C$40="ja",0,IF(C7="h",-1,IF(C7="k",0,IF(C7="w",-1,0))))</f>
        <v>0</v>
      </c>
      <c r="AO7" s="6">
        <f t="shared" ref="AO7:AO37" si="9">IF(D$40="ja",0,IF(D7="h",-1,IF(D7="k",0,IF(D7="w",-1,0))))</f>
        <v>0</v>
      </c>
      <c r="AP7" s="6">
        <f t="shared" ref="AP7:AP37" si="10">IF(E$40="ja",0,IF(E7="h",-1,IF(E7="k",0,IF(E7="w",-1,0))))</f>
        <v>0</v>
      </c>
      <c r="AQ7" s="6">
        <f t="shared" ref="AQ7:AQ37" si="11">IF(F$40="ja",0,IF(F7="h",-1,IF(F7="k",0,IF(F7="w",-1,0))))</f>
        <v>0</v>
      </c>
      <c r="AR7" s="6">
        <f t="shared" ref="AR7:AR37" si="12">IF(G$40="ja",0,IF(G7="h",-1,IF(G7="k",0,IF(G7="w",-1,0))))</f>
        <v>0</v>
      </c>
      <c r="AS7" s="6">
        <f t="shared" ref="AS7:AS37" si="13">IF(H$40="ja",0,IF(H7="h",-1,IF(H7="k",0,IF(H7="w",-1,0))))</f>
        <v>0</v>
      </c>
      <c r="AT7" s="6">
        <f t="shared" ref="AT7:AT37" si="14">IF(I$40="ja",0,IF(I7="h",-1,IF(I7="k",0,IF(I7="w",-1,0))))</f>
        <v>0</v>
      </c>
      <c r="AU7" s="6">
        <f t="shared" ref="AU7:AU37" si="15">IF(J$40="ja",0,IF(J7="h",-1,IF(J7="k",0,IF(J7="w",-1,0))))</f>
        <v>0</v>
      </c>
      <c r="AV7" s="6">
        <f t="shared" ref="AV7:AV37" si="16">IF(K$40="ja",0,IF(K7="h",-1,IF(K7="k",0,IF(K7="w",-1,0))))</f>
        <v>0</v>
      </c>
      <c r="AW7" s="6">
        <f t="shared" ref="AW7:AW37" si="17">IF(L$40="ja",0,IF(L7="h",-1,IF(L7="k",0,IF(L7="w",-1,0))))</f>
        <v>-1</v>
      </c>
      <c r="AX7" s="6">
        <f t="shared" ref="AX7:AX37" si="18">IF(M$40="ja",0,IF(M7="h",-1,IF(M7="k",0,IF(M7="w",-1,0))))</f>
        <v>0</v>
      </c>
      <c r="AY7" s="6">
        <f t="shared" ref="AY7:AY37" si="19">IF(N$40="ja",0,IF(N7="h",-1,IF(N7="k",0,IF(N7="w",-1,0))))</f>
        <v>0</v>
      </c>
      <c r="AZ7" s="6">
        <f t="shared" ref="AZ7:AZ37" si="20">IF(S$40="ja",0,IF(S7="h",-1,IF(S7="k",0,IF(S7="w",-1,0))))</f>
        <v>0</v>
      </c>
      <c r="BA7" s="6">
        <f t="shared" ref="BA7:BA37" si="21">IF(O$40="ja",0,IF(O7="h",-1,IF(O7="k",0,IF(O7="w",-1,0))))</f>
        <v>0</v>
      </c>
      <c r="BB7" s="6">
        <f t="shared" ref="BB7:BB37" si="22">IF(U$40="ja",0,IF(U7="h",-1,IF(U7="k",0,IF(U7="w",-1,0))))</f>
        <v>-1</v>
      </c>
      <c r="BC7" s="6">
        <f t="shared" ref="BC7:BC37" si="23">IF(P$40="ja",0,IF(P7="h",-1,IF(P7="k",0,IF(P7="w",-1,0))))</f>
        <v>-1</v>
      </c>
      <c r="BD7" s="6">
        <f t="shared" ref="BD7:BD37" si="24">IF(T$40="ja",0,IF(T7="h",-1,IF(T7="k",0,IF(T7="w",-1,0))))</f>
        <v>0</v>
      </c>
      <c r="BE7" s="6">
        <f t="shared" ref="BE7:BE37" si="25">IF(Q$40="ja",0,IF(Q7="h",-1,IF(Q7="k",0,IF(Q7="w",-1,0))))</f>
        <v>0</v>
      </c>
      <c r="BF7" s="6">
        <f t="shared" ref="BF7:BF37" si="26">IF(R$40="ja",0,IF(R7="h",-1,IF(R7="k",0,IF(R7="w",-1,0))))</f>
        <v>0</v>
      </c>
      <c r="BG7" s="6">
        <f t="shared" ref="BG7:BG37" si="27">IF(V$40="ja",0,IF(V7="h",-1,IF(V7="k",0,IF(V7="w",-1,0))))</f>
        <v>0</v>
      </c>
      <c r="BH7" s="6">
        <f t="shared" ref="BH7:BH37" si="28">IF(W$40="ja",0,IF(W7="h",-1,IF(W7="k",0,IF(W7="w",-1,0))))</f>
        <v>0</v>
      </c>
      <c r="BI7" s="6">
        <f t="shared" ref="BI7:BI37" si="29">IF(X$40="ja",0,IF(X7="h",-1,IF(X7="k",0,IF(X7="w",-1,0))))</f>
        <v>0</v>
      </c>
      <c r="BJ7" s="6">
        <f t="shared" ref="BJ7:BJ37" si="30">IF(Y$40="ja",0,IF(Y7="h",-1,IF(Y7="k",0,IF(Y7="w",-1,0))))</f>
        <v>0</v>
      </c>
      <c r="BK7" s="6">
        <f t="shared" ref="BK7:BK37" si="31">IF(Z$40="ja",0,IF(Z7="h",-1,IF(Z7="k",0,IF(Z7="w",-1,0))))</f>
        <v>0</v>
      </c>
      <c r="BL7" s="6">
        <f t="shared" ref="BL7:BL37" si="32">IF(AA$40="ja",0,IF(AA7="h",-1,IF(AA7="k",0,IF(AA7="w",-1,0))))</f>
        <v>0</v>
      </c>
      <c r="BM7" s="3">
        <f t="shared" ref="BM7:BM37" si="33">SUM(AN7:BL7)</f>
        <v>-3</v>
      </c>
      <c r="BN7" s="3"/>
      <c r="BO7" s="3"/>
    </row>
    <row r="8" spans="1:67" x14ac:dyDescent="0.25">
      <c r="A8" s="3">
        <v>2</v>
      </c>
      <c r="B8" s="8" t="s">
        <v>49</v>
      </c>
      <c r="C8" s="9"/>
      <c r="D8" s="191" t="s">
        <v>48</v>
      </c>
      <c r="E8" s="9" t="s">
        <v>48</v>
      </c>
      <c r="F8" s="9"/>
      <c r="G8" s="9"/>
      <c r="H8" s="9"/>
      <c r="I8" s="9"/>
      <c r="J8" s="9"/>
      <c r="K8" s="9"/>
      <c r="L8" s="9"/>
      <c r="M8" s="9"/>
      <c r="N8" s="9"/>
      <c r="O8" s="251"/>
      <c r="P8" s="9"/>
      <c r="Q8" s="9"/>
      <c r="R8" s="9"/>
      <c r="S8" s="9"/>
      <c r="T8" s="9" t="s">
        <v>299</v>
      </c>
      <c r="U8" s="9" t="s">
        <v>48</v>
      </c>
      <c r="V8" s="9"/>
      <c r="W8" s="45"/>
      <c r="X8" s="45"/>
      <c r="Y8" s="45"/>
      <c r="Z8" s="45"/>
      <c r="AA8" s="9"/>
      <c r="AB8" s="105">
        <f t="shared" si="1"/>
        <v>3</v>
      </c>
      <c r="AC8" s="101">
        <f t="shared" si="2"/>
        <v>0</v>
      </c>
      <c r="AD8" s="101">
        <f t="shared" si="3"/>
        <v>0</v>
      </c>
      <c r="AE8" s="101">
        <f t="shared" si="4"/>
        <v>-2</v>
      </c>
      <c r="AF8" s="101">
        <f t="shared" si="5"/>
        <v>0</v>
      </c>
      <c r="AG8" s="102">
        <f t="shared" si="6"/>
        <v>0</v>
      </c>
      <c r="AK8" s="195">
        <f t="shared" si="7"/>
        <v>3</v>
      </c>
      <c r="AN8" s="6">
        <f t="shared" si="8"/>
        <v>0</v>
      </c>
      <c r="AO8" s="6">
        <f t="shared" si="9"/>
        <v>0</v>
      </c>
      <c r="AP8" s="6">
        <f t="shared" si="10"/>
        <v>-1</v>
      </c>
      <c r="AQ8" s="6">
        <f t="shared" si="11"/>
        <v>0</v>
      </c>
      <c r="AR8" s="6">
        <f t="shared" si="12"/>
        <v>0</v>
      </c>
      <c r="AS8" s="6">
        <f t="shared" si="13"/>
        <v>0</v>
      </c>
      <c r="AT8" s="6">
        <f t="shared" si="14"/>
        <v>0</v>
      </c>
      <c r="AU8" s="6">
        <f t="shared" si="15"/>
        <v>0</v>
      </c>
      <c r="AV8" s="6">
        <f t="shared" si="16"/>
        <v>0</v>
      </c>
      <c r="AW8" s="6">
        <f t="shared" si="17"/>
        <v>0</v>
      </c>
      <c r="AX8" s="6">
        <f t="shared" si="18"/>
        <v>0</v>
      </c>
      <c r="AY8" s="6">
        <f t="shared" si="19"/>
        <v>0</v>
      </c>
      <c r="AZ8" s="6">
        <f t="shared" si="20"/>
        <v>0</v>
      </c>
      <c r="BA8" s="6">
        <f t="shared" si="21"/>
        <v>0</v>
      </c>
      <c r="BB8" s="6">
        <f t="shared" si="22"/>
        <v>-1</v>
      </c>
      <c r="BC8" s="6">
        <f t="shared" si="23"/>
        <v>0</v>
      </c>
      <c r="BD8" s="6">
        <f t="shared" si="24"/>
        <v>0</v>
      </c>
      <c r="BE8" s="6">
        <f t="shared" si="25"/>
        <v>0</v>
      </c>
      <c r="BF8" s="6">
        <f t="shared" si="26"/>
        <v>0</v>
      </c>
      <c r="BG8" s="6">
        <f t="shared" si="27"/>
        <v>0</v>
      </c>
      <c r="BH8" s="6">
        <f t="shared" si="28"/>
        <v>0</v>
      </c>
      <c r="BI8" s="6">
        <f t="shared" si="29"/>
        <v>0</v>
      </c>
      <c r="BJ8" s="6">
        <f t="shared" si="30"/>
        <v>0</v>
      </c>
      <c r="BK8" s="6">
        <f t="shared" si="31"/>
        <v>0</v>
      </c>
      <c r="BL8" s="6">
        <f t="shared" si="32"/>
        <v>0</v>
      </c>
      <c r="BM8" s="3">
        <f t="shared" si="33"/>
        <v>-2</v>
      </c>
      <c r="BN8" s="3"/>
      <c r="BO8" s="3"/>
    </row>
    <row r="9" spans="1:67" x14ac:dyDescent="0.25">
      <c r="A9" s="3">
        <v>3</v>
      </c>
      <c r="B9" s="8" t="s">
        <v>51</v>
      </c>
      <c r="C9" s="9"/>
      <c r="D9" s="191" t="s">
        <v>48</v>
      </c>
      <c r="E9" s="9"/>
      <c r="F9" s="9"/>
      <c r="G9" s="9"/>
      <c r="H9" s="9"/>
      <c r="I9" s="9"/>
      <c r="J9" s="9" t="s">
        <v>52</v>
      </c>
      <c r="K9" s="9"/>
      <c r="L9" s="9"/>
      <c r="M9" s="9"/>
      <c r="N9" s="9"/>
      <c r="O9" s="9"/>
      <c r="P9" s="9"/>
      <c r="Q9" s="9" t="s">
        <v>52</v>
      </c>
      <c r="R9" s="9"/>
      <c r="S9" s="9"/>
      <c r="T9" s="9" t="s">
        <v>299</v>
      </c>
      <c r="U9" s="9" t="s">
        <v>48</v>
      </c>
      <c r="V9" s="9" t="s">
        <v>48</v>
      </c>
      <c r="W9" s="45"/>
      <c r="X9" s="45"/>
      <c r="Y9" s="45"/>
      <c r="Z9" s="45"/>
      <c r="AA9" s="9"/>
      <c r="AB9" s="105">
        <f t="shared" si="1"/>
        <v>5</v>
      </c>
      <c r="AC9" s="101">
        <f t="shared" si="2"/>
        <v>0</v>
      </c>
      <c r="AD9" s="101">
        <f t="shared" si="3"/>
        <v>0</v>
      </c>
      <c r="AE9" s="101">
        <f t="shared" si="4"/>
        <v>-2</v>
      </c>
      <c r="AF9" s="101">
        <f t="shared" si="5"/>
        <v>2</v>
      </c>
      <c r="AG9" s="102">
        <f t="shared" si="6"/>
        <v>0</v>
      </c>
      <c r="AH9" s="6"/>
      <c r="AI9" s="6"/>
      <c r="AK9" s="195">
        <f t="shared" si="7"/>
        <v>3</v>
      </c>
      <c r="AN9" s="6">
        <f t="shared" si="8"/>
        <v>0</v>
      </c>
      <c r="AO9" s="6">
        <f t="shared" si="9"/>
        <v>0</v>
      </c>
      <c r="AP9" s="6">
        <f t="shared" si="10"/>
        <v>0</v>
      </c>
      <c r="AQ9" s="6">
        <f t="shared" si="11"/>
        <v>0</v>
      </c>
      <c r="AR9" s="6">
        <f t="shared" si="12"/>
        <v>0</v>
      </c>
      <c r="AS9" s="6">
        <f t="shared" si="13"/>
        <v>0</v>
      </c>
      <c r="AT9" s="6">
        <f t="shared" si="14"/>
        <v>0</v>
      </c>
      <c r="AU9" s="6">
        <f t="shared" si="15"/>
        <v>0</v>
      </c>
      <c r="AV9" s="6">
        <f t="shared" si="16"/>
        <v>0</v>
      </c>
      <c r="AW9" s="6">
        <f t="shared" si="17"/>
        <v>0</v>
      </c>
      <c r="AX9" s="6">
        <f t="shared" si="18"/>
        <v>0</v>
      </c>
      <c r="AY9" s="6">
        <f t="shared" si="19"/>
        <v>0</v>
      </c>
      <c r="AZ9" s="6">
        <f t="shared" si="20"/>
        <v>0</v>
      </c>
      <c r="BA9" s="6">
        <f t="shared" si="21"/>
        <v>0</v>
      </c>
      <c r="BB9" s="6">
        <f t="shared" si="22"/>
        <v>-1</v>
      </c>
      <c r="BC9" s="6">
        <f t="shared" si="23"/>
        <v>0</v>
      </c>
      <c r="BD9" s="6">
        <f t="shared" si="24"/>
        <v>0</v>
      </c>
      <c r="BE9" s="6">
        <f t="shared" si="25"/>
        <v>0</v>
      </c>
      <c r="BF9" s="6">
        <f t="shared" si="26"/>
        <v>0</v>
      </c>
      <c r="BG9" s="6">
        <f t="shared" si="27"/>
        <v>-1</v>
      </c>
      <c r="BH9" s="6">
        <f t="shared" si="28"/>
        <v>0</v>
      </c>
      <c r="BI9" s="6">
        <f t="shared" si="29"/>
        <v>0</v>
      </c>
      <c r="BJ9" s="6">
        <f t="shared" si="30"/>
        <v>0</v>
      </c>
      <c r="BK9" s="6">
        <f t="shared" si="31"/>
        <v>0</v>
      </c>
      <c r="BL9" s="6">
        <f t="shared" si="32"/>
        <v>0</v>
      </c>
      <c r="BM9" s="3">
        <f t="shared" si="33"/>
        <v>-2</v>
      </c>
      <c r="BN9" s="3"/>
      <c r="BO9" s="3"/>
    </row>
    <row r="10" spans="1:67" x14ac:dyDescent="0.25">
      <c r="A10" s="3">
        <v>4</v>
      </c>
      <c r="B10" s="8" t="s">
        <v>53</v>
      </c>
      <c r="C10" s="9" t="s">
        <v>48</v>
      </c>
      <c r="D10" s="191" t="s">
        <v>48</v>
      </c>
      <c r="E10" s="9"/>
      <c r="F10" s="9"/>
      <c r="G10" s="9" t="s">
        <v>299</v>
      </c>
      <c r="H10" s="9"/>
      <c r="I10" s="9" t="s">
        <v>299</v>
      </c>
      <c r="J10" s="9" t="s">
        <v>48</v>
      </c>
      <c r="K10" s="9" t="s">
        <v>48</v>
      </c>
      <c r="L10" s="9" t="s">
        <v>48</v>
      </c>
      <c r="M10" s="9" t="s">
        <v>299</v>
      </c>
      <c r="N10" s="9"/>
      <c r="O10" s="9" t="s">
        <v>48</v>
      </c>
      <c r="P10" s="9"/>
      <c r="Q10" s="9"/>
      <c r="R10" s="9"/>
      <c r="S10" s="9"/>
      <c r="T10" s="9"/>
      <c r="U10" s="9"/>
      <c r="V10" s="9"/>
      <c r="W10" s="45"/>
      <c r="X10" s="45"/>
      <c r="Y10" s="45"/>
      <c r="Z10" s="45"/>
      <c r="AA10" s="9"/>
      <c r="AB10" s="105">
        <f t="shared" si="1"/>
        <v>6</v>
      </c>
      <c r="AC10" s="101">
        <f t="shared" si="2"/>
        <v>0</v>
      </c>
      <c r="AD10" s="101">
        <f t="shared" si="3"/>
        <v>0</v>
      </c>
      <c r="AE10" s="101">
        <f t="shared" si="4"/>
        <v>-4</v>
      </c>
      <c r="AF10" s="101">
        <f t="shared" si="5"/>
        <v>0</v>
      </c>
      <c r="AG10" s="102">
        <f t="shared" si="6"/>
        <v>0</v>
      </c>
      <c r="AH10" s="6"/>
      <c r="AI10" s="6"/>
      <c r="AK10" s="195">
        <f t="shared" si="7"/>
        <v>6</v>
      </c>
      <c r="AN10" s="6">
        <f t="shared" si="8"/>
        <v>-1</v>
      </c>
      <c r="AO10" s="6">
        <f t="shared" si="9"/>
        <v>0</v>
      </c>
      <c r="AP10" s="6">
        <f t="shared" si="10"/>
        <v>0</v>
      </c>
      <c r="AQ10" s="6">
        <f t="shared" si="11"/>
        <v>0</v>
      </c>
      <c r="AR10" s="6">
        <f t="shared" si="12"/>
        <v>0</v>
      </c>
      <c r="AS10" s="6">
        <f t="shared" si="13"/>
        <v>0</v>
      </c>
      <c r="AT10" s="6">
        <f t="shared" si="14"/>
        <v>0</v>
      </c>
      <c r="AU10" s="6">
        <f t="shared" si="15"/>
        <v>-1</v>
      </c>
      <c r="AV10" s="6">
        <f t="shared" si="16"/>
        <v>0</v>
      </c>
      <c r="AW10" s="6">
        <f t="shared" si="17"/>
        <v>-1</v>
      </c>
      <c r="AX10" s="6">
        <f t="shared" si="18"/>
        <v>0</v>
      </c>
      <c r="AY10" s="6">
        <f t="shared" si="19"/>
        <v>0</v>
      </c>
      <c r="AZ10" s="6">
        <f t="shared" si="20"/>
        <v>0</v>
      </c>
      <c r="BA10" s="6">
        <f t="shared" si="21"/>
        <v>-1</v>
      </c>
      <c r="BB10" s="6">
        <f t="shared" si="22"/>
        <v>0</v>
      </c>
      <c r="BC10" s="6">
        <f t="shared" si="23"/>
        <v>0</v>
      </c>
      <c r="BD10" s="6">
        <f t="shared" si="24"/>
        <v>0</v>
      </c>
      <c r="BE10" s="6">
        <f t="shared" si="25"/>
        <v>0</v>
      </c>
      <c r="BF10" s="6">
        <f t="shared" si="26"/>
        <v>0</v>
      </c>
      <c r="BG10" s="6">
        <f t="shared" si="27"/>
        <v>0</v>
      </c>
      <c r="BH10" s="6">
        <f t="shared" si="28"/>
        <v>0</v>
      </c>
      <c r="BI10" s="6">
        <f t="shared" si="29"/>
        <v>0</v>
      </c>
      <c r="BJ10" s="6">
        <f t="shared" si="30"/>
        <v>0</v>
      </c>
      <c r="BK10" s="6">
        <f t="shared" si="31"/>
        <v>0</v>
      </c>
      <c r="BL10" s="6">
        <f t="shared" si="32"/>
        <v>0</v>
      </c>
      <c r="BM10" s="3">
        <f t="shared" si="33"/>
        <v>-4</v>
      </c>
      <c r="BN10" s="3"/>
      <c r="BO10" s="3"/>
    </row>
    <row r="11" spans="1:67" x14ac:dyDescent="0.25">
      <c r="A11" s="3">
        <v>5</v>
      </c>
      <c r="B11" s="8" t="s">
        <v>54</v>
      </c>
      <c r="C11" s="9" t="s">
        <v>48</v>
      </c>
      <c r="D11" s="191" t="s">
        <v>48</v>
      </c>
      <c r="E11" s="9"/>
      <c r="F11" s="9"/>
      <c r="G11" s="9"/>
      <c r="H11" s="9"/>
      <c r="I11" s="9" t="s">
        <v>299</v>
      </c>
      <c r="J11" s="9" t="s">
        <v>299</v>
      </c>
      <c r="K11" s="9" t="s">
        <v>48</v>
      </c>
      <c r="L11" s="9"/>
      <c r="M11" s="9"/>
      <c r="N11" s="9"/>
      <c r="O11" s="9"/>
      <c r="P11" s="9"/>
      <c r="Q11" s="9" t="s">
        <v>48</v>
      </c>
      <c r="R11" s="9"/>
      <c r="S11" s="9"/>
      <c r="T11" s="9" t="s">
        <v>52</v>
      </c>
      <c r="U11" s="9"/>
      <c r="V11" s="9"/>
      <c r="W11" s="45"/>
      <c r="X11" s="45"/>
      <c r="Y11" s="45"/>
      <c r="Z11" s="45"/>
      <c r="AA11" s="9"/>
      <c r="AB11" s="105">
        <f t="shared" si="1"/>
        <v>5</v>
      </c>
      <c r="AC11" s="101">
        <f t="shared" si="2"/>
        <v>0</v>
      </c>
      <c r="AD11" s="101">
        <f t="shared" si="3"/>
        <v>0</v>
      </c>
      <c r="AE11" s="101">
        <f t="shared" si="4"/>
        <v>-2</v>
      </c>
      <c r="AF11" s="101">
        <f t="shared" si="5"/>
        <v>1</v>
      </c>
      <c r="AG11" s="102">
        <f t="shared" si="6"/>
        <v>0</v>
      </c>
      <c r="AK11" s="195">
        <f t="shared" si="7"/>
        <v>4</v>
      </c>
      <c r="AN11" s="6">
        <f t="shared" si="8"/>
        <v>-1</v>
      </c>
      <c r="AO11" s="6">
        <f t="shared" si="9"/>
        <v>0</v>
      </c>
      <c r="AP11" s="6">
        <f t="shared" si="10"/>
        <v>0</v>
      </c>
      <c r="AQ11" s="6">
        <f t="shared" si="11"/>
        <v>0</v>
      </c>
      <c r="AR11" s="6">
        <f t="shared" si="12"/>
        <v>0</v>
      </c>
      <c r="AS11" s="6">
        <f t="shared" si="13"/>
        <v>0</v>
      </c>
      <c r="AT11" s="6">
        <f t="shared" si="14"/>
        <v>0</v>
      </c>
      <c r="AU11" s="6">
        <f t="shared" si="15"/>
        <v>0</v>
      </c>
      <c r="AV11" s="6">
        <f t="shared" si="16"/>
        <v>0</v>
      </c>
      <c r="AW11" s="6">
        <f t="shared" si="17"/>
        <v>0</v>
      </c>
      <c r="AX11" s="6">
        <f t="shared" si="18"/>
        <v>0</v>
      </c>
      <c r="AY11" s="6">
        <f t="shared" si="19"/>
        <v>0</v>
      </c>
      <c r="AZ11" s="6">
        <f t="shared" si="20"/>
        <v>0</v>
      </c>
      <c r="BA11" s="6">
        <f t="shared" si="21"/>
        <v>0</v>
      </c>
      <c r="BB11" s="6">
        <f t="shared" si="22"/>
        <v>0</v>
      </c>
      <c r="BC11" s="6">
        <f t="shared" si="23"/>
        <v>0</v>
      </c>
      <c r="BD11" s="6">
        <f t="shared" si="24"/>
        <v>0</v>
      </c>
      <c r="BE11" s="6">
        <f t="shared" si="25"/>
        <v>-1</v>
      </c>
      <c r="BF11" s="6">
        <f t="shared" si="26"/>
        <v>0</v>
      </c>
      <c r="BG11" s="6">
        <f t="shared" si="27"/>
        <v>0</v>
      </c>
      <c r="BH11" s="6">
        <f t="shared" si="28"/>
        <v>0</v>
      </c>
      <c r="BI11" s="6">
        <f t="shared" si="29"/>
        <v>0</v>
      </c>
      <c r="BJ11" s="6">
        <f t="shared" si="30"/>
        <v>0</v>
      </c>
      <c r="BK11" s="6">
        <f t="shared" si="31"/>
        <v>0</v>
      </c>
      <c r="BL11" s="6">
        <f t="shared" si="32"/>
        <v>0</v>
      </c>
      <c r="BM11" s="3">
        <f t="shared" si="33"/>
        <v>-2</v>
      </c>
      <c r="BN11" s="3"/>
      <c r="BO11" s="3"/>
    </row>
    <row r="12" spans="1:67" x14ac:dyDescent="0.25">
      <c r="A12" s="3">
        <v>6</v>
      </c>
      <c r="B12" s="8" t="s">
        <v>55</v>
      </c>
      <c r="C12" s="9"/>
      <c r="D12" s="191"/>
      <c r="E12" s="9" t="s">
        <v>48</v>
      </c>
      <c r="F12" s="9" t="s">
        <v>48</v>
      </c>
      <c r="G12" s="9" t="s">
        <v>299</v>
      </c>
      <c r="H12" s="9"/>
      <c r="I12" s="9" t="s">
        <v>299</v>
      </c>
      <c r="J12" s="9"/>
      <c r="K12" s="9" t="s">
        <v>48</v>
      </c>
      <c r="L12" s="251" t="s">
        <v>48</v>
      </c>
      <c r="M12" s="9" t="s">
        <v>48</v>
      </c>
      <c r="N12" s="9" t="s">
        <v>48</v>
      </c>
      <c r="O12" s="9" t="s">
        <v>299</v>
      </c>
      <c r="P12" s="9"/>
      <c r="Q12" s="9"/>
      <c r="R12" s="9" t="s">
        <v>48</v>
      </c>
      <c r="S12" s="9"/>
      <c r="T12" s="9" t="s">
        <v>299</v>
      </c>
      <c r="U12" s="9" t="s">
        <v>48</v>
      </c>
      <c r="V12" s="9"/>
      <c r="W12" s="45"/>
      <c r="X12" s="45"/>
      <c r="Y12" s="45"/>
      <c r="Z12" s="45"/>
      <c r="AA12" s="9"/>
      <c r="AB12" s="105">
        <f t="shared" si="1"/>
        <v>8</v>
      </c>
      <c r="AC12" s="101">
        <f t="shared" si="2"/>
        <v>0</v>
      </c>
      <c r="AD12" s="101">
        <f t="shared" si="3"/>
        <v>0</v>
      </c>
      <c r="AE12" s="101">
        <f t="shared" si="4"/>
        <v>-6</v>
      </c>
      <c r="AF12" s="101">
        <f t="shared" si="5"/>
        <v>0</v>
      </c>
      <c r="AG12" s="102">
        <f t="shared" si="6"/>
        <v>0</v>
      </c>
      <c r="AK12" s="195">
        <f t="shared" si="7"/>
        <v>8</v>
      </c>
      <c r="AN12" s="6">
        <f t="shared" si="8"/>
        <v>0</v>
      </c>
      <c r="AO12" s="6">
        <f t="shared" si="9"/>
        <v>0</v>
      </c>
      <c r="AP12" s="6">
        <f t="shared" si="10"/>
        <v>-1</v>
      </c>
      <c r="AQ12" s="6">
        <f t="shared" si="11"/>
        <v>-1</v>
      </c>
      <c r="AR12" s="6">
        <f t="shared" si="12"/>
        <v>0</v>
      </c>
      <c r="AS12" s="6">
        <f t="shared" si="13"/>
        <v>0</v>
      </c>
      <c r="AT12" s="6">
        <f t="shared" si="14"/>
        <v>0</v>
      </c>
      <c r="AU12" s="6">
        <f t="shared" si="15"/>
        <v>0</v>
      </c>
      <c r="AV12" s="6">
        <f t="shared" si="16"/>
        <v>0</v>
      </c>
      <c r="AW12" s="6">
        <f t="shared" si="17"/>
        <v>-1</v>
      </c>
      <c r="AX12" s="6">
        <f t="shared" si="18"/>
        <v>-1</v>
      </c>
      <c r="AY12" s="6">
        <f t="shared" si="19"/>
        <v>0</v>
      </c>
      <c r="AZ12" s="6">
        <f t="shared" si="20"/>
        <v>0</v>
      </c>
      <c r="BA12" s="6">
        <f t="shared" si="21"/>
        <v>0</v>
      </c>
      <c r="BB12" s="6">
        <f t="shared" si="22"/>
        <v>-1</v>
      </c>
      <c r="BC12" s="6">
        <f t="shared" si="23"/>
        <v>0</v>
      </c>
      <c r="BD12" s="6">
        <f t="shared" si="24"/>
        <v>0</v>
      </c>
      <c r="BE12" s="6">
        <f t="shared" si="25"/>
        <v>0</v>
      </c>
      <c r="BF12" s="6">
        <f t="shared" si="26"/>
        <v>-1</v>
      </c>
      <c r="BG12" s="6">
        <f t="shared" si="27"/>
        <v>0</v>
      </c>
      <c r="BH12" s="6">
        <f t="shared" si="28"/>
        <v>0</v>
      </c>
      <c r="BI12" s="6">
        <f t="shared" si="29"/>
        <v>0</v>
      </c>
      <c r="BJ12" s="6">
        <f t="shared" si="30"/>
        <v>0</v>
      </c>
      <c r="BK12" s="6">
        <f t="shared" si="31"/>
        <v>0</v>
      </c>
      <c r="BL12" s="6">
        <f t="shared" si="32"/>
        <v>0</v>
      </c>
      <c r="BM12" s="3">
        <f t="shared" si="33"/>
        <v>-6</v>
      </c>
      <c r="BN12" s="3"/>
      <c r="BO12" s="3"/>
    </row>
    <row r="13" spans="1:67" x14ac:dyDescent="0.25">
      <c r="A13" s="3">
        <v>7</v>
      </c>
      <c r="B13" s="8" t="s">
        <v>56</v>
      </c>
      <c r="C13" s="9"/>
      <c r="D13" s="191"/>
      <c r="E13" s="9" t="s">
        <v>48</v>
      </c>
      <c r="F13" s="9" t="s">
        <v>299</v>
      </c>
      <c r="G13" s="9" t="s">
        <v>52</v>
      </c>
      <c r="H13" s="9" t="s">
        <v>48</v>
      </c>
      <c r="I13" s="9" t="s">
        <v>52</v>
      </c>
      <c r="J13" s="9" t="s">
        <v>48</v>
      </c>
      <c r="K13" s="9" t="s">
        <v>48</v>
      </c>
      <c r="L13" s="9"/>
      <c r="M13" s="9"/>
      <c r="N13" s="9" t="s">
        <v>48</v>
      </c>
      <c r="O13" s="9" t="s">
        <v>299</v>
      </c>
      <c r="P13" s="9" t="s">
        <v>299</v>
      </c>
      <c r="Q13" s="9" t="s">
        <v>48</v>
      </c>
      <c r="R13" s="9" t="s">
        <v>299</v>
      </c>
      <c r="S13" s="9"/>
      <c r="T13" s="9" t="s">
        <v>48</v>
      </c>
      <c r="U13" s="9" t="s">
        <v>48</v>
      </c>
      <c r="V13" s="9"/>
      <c r="W13" s="45"/>
      <c r="X13" s="45"/>
      <c r="Y13" s="45"/>
      <c r="Z13" s="45"/>
      <c r="AA13" s="9"/>
      <c r="AB13" s="105">
        <f t="shared" si="1"/>
        <v>10</v>
      </c>
      <c r="AC13" s="101">
        <f t="shared" si="2"/>
        <v>0</v>
      </c>
      <c r="AD13" s="101">
        <f t="shared" si="3"/>
        <v>0</v>
      </c>
      <c r="AE13" s="101">
        <f t="shared" si="4"/>
        <v>-6</v>
      </c>
      <c r="AF13" s="101">
        <f t="shared" si="5"/>
        <v>2</v>
      </c>
      <c r="AG13" s="102">
        <f t="shared" si="6"/>
        <v>0</v>
      </c>
      <c r="AH13" s="6"/>
      <c r="AI13" s="6"/>
      <c r="AK13" s="195">
        <f t="shared" si="7"/>
        <v>8</v>
      </c>
      <c r="AN13" s="6">
        <f t="shared" si="8"/>
        <v>0</v>
      </c>
      <c r="AO13" s="6">
        <f t="shared" si="9"/>
        <v>0</v>
      </c>
      <c r="AP13" s="6">
        <f t="shared" si="10"/>
        <v>-1</v>
      </c>
      <c r="AQ13" s="6">
        <f t="shared" si="11"/>
        <v>0</v>
      </c>
      <c r="AR13" s="6">
        <f t="shared" si="12"/>
        <v>0</v>
      </c>
      <c r="AS13" s="6">
        <f t="shared" si="13"/>
        <v>-1</v>
      </c>
      <c r="AT13" s="6">
        <f t="shared" si="14"/>
        <v>0</v>
      </c>
      <c r="AU13" s="6">
        <f t="shared" si="15"/>
        <v>-1</v>
      </c>
      <c r="AV13" s="6">
        <f t="shared" si="16"/>
        <v>0</v>
      </c>
      <c r="AW13" s="6">
        <f t="shared" si="17"/>
        <v>0</v>
      </c>
      <c r="AX13" s="6">
        <f t="shared" si="18"/>
        <v>0</v>
      </c>
      <c r="AY13" s="6">
        <f t="shared" si="19"/>
        <v>0</v>
      </c>
      <c r="AZ13" s="6">
        <f t="shared" si="20"/>
        <v>0</v>
      </c>
      <c r="BA13" s="6">
        <f t="shared" si="21"/>
        <v>0</v>
      </c>
      <c r="BB13" s="6">
        <f t="shared" si="22"/>
        <v>-1</v>
      </c>
      <c r="BC13" s="6">
        <f t="shared" si="23"/>
        <v>0</v>
      </c>
      <c r="BD13" s="6">
        <f t="shared" si="24"/>
        <v>-1</v>
      </c>
      <c r="BE13" s="6">
        <f t="shared" si="25"/>
        <v>-1</v>
      </c>
      <c r="BF13" s="6">
        <f t="shared" si="26"/>
        <v>0</v>
      </c>
      <c r="BG13" s="6">
        <f t="shared" si="27"/>
        <v>0</v>
      </c>
      <c r="BH13" s="6">
        <f t="shared" si="28"/>
        <v>0</v>
      </c>
      <c r="BI13" s="6">
        <f t="shared" si="29"/>
        <v>0</v>
      </c>
      <c r="BJ13" s="6">
        <f t="shared" si="30"/>
        <v>0</v>
      </c>
      <c r="BK13" s="6">
        <f t="shared" si="31"/>
        <v>0</v>
      </c>
      <c r="BL13" s="6">
        <f t="shared" si="32"/>
        <v>0</v>
      </c>
      <c r="BM13" s="3">
        <f t="shared" si="33"/>
        <v>-6</v>
      </c>
      <c r="BN13" s="3"/>
      <c r="BO13" s="3"/>
    </row>
    <row r="14" spans="1:67" x14ac:dyDescent="0.25">
      <c r="A14" s="3">
        <v>8</v>
      </c>
      <c r="B14" s="8" t="s">
        <v>57</v>
      </c>
      <c r="C14" s="9" t="s">
        <v>48</v>
      </c>
      <c r="D14" s="191" t="s">
        <v>48</v>
      </c>
      <c r="E14" s="9" t="s">
        <v>299</v>
      </c>
      <c r="F14" s="9" t="s">
        <v>299</v>
      </c>
      <c r="G14" s="9" t="s">
        <v>48</v>
      </c>
      <c r="H14" s="9" t="s">
        <v>48</v>
      </c>
      <c r="I14" s="9" t="s">
        <v>48</v>
      </c>
      <c r="J14" s="9" t="s">
        <v>48</v>
      </c>
      <c r="K14" s="9" t="s">
        <v>48</v>
      </c>
      <c r="L14" s="9" t="s">
        <v>299</v>
      </c>
      <c r="M14" s="9" t="s">
        <v>299</v>
      </c>
      <c r="N14" s="9" t="s">
        <v>48</v>
      </c>
      <c r="O14" s="9" t="s">
        <v>48</v>
      </c>
      <c r="P14" s="9"/>
      <c r="Q14" s="9"/>
      <c r="R14" s="9" t="s">
        <v>48</v>
      </c>
      <c r="S14" s="9" t="s">
        <v>299</v>
      </c>
      <c r="T14" s="9" t="s">
        <v>299</v>
      </c>
      <c r="U14" s="9" t="s">
        <v>48</v>
      </c>
      <c r="V14" s="9" t="s">
        <v>48</v>
      </c>
      <c r="W14" s="45"/>
      <c r="X14" s="45"/>
      <c r="Y14" s="45"/>
      <c r="Z14" s="45"/>
      <c r="AA14" s="9"/>
      <c r="AB14" s="105">
        <f t="shared" si="1"/>
        <v>12</v>
      </c>
      <c r="AC14" s="101">
        <f t="shared" si="2"/>
        <v>0</v>
      </c>
      <c r="AD14" s="101">
        <f t="shared" si="3"/>
        <v>0</v>
      </c>
      <c r="AE14" s="101">
        <f t="shared" si="4"/>
        <v>-9</v>
      </c>
      <c r="AF14" s="101">
        <f t="shared" si="5"/>
        <v>0</v>
      </c>
      <c r="AG14" s="102">
        <f t="shared" si="6"/>
        <v>0</v>
      </c>
      <c r="AK14" s="195">
        <f t="shared" si="7"/>
        <v>12</v>
      </c>
      <c r="AN14" s="6">
        <f t="shared" si="8"/>
        <v>-1</v>
      </c>
      <c r="AO14" s="6">
        <f t="shared" si="9"/>
        <v>0</v>
      </c>
      <c r="AP14" s="6">
        <f t="shared" si="10"/>
        <v>0</v>
      </c>
      <c r="AQ14" s="6">
        <f t="shared" si="11"/>
        <v>0</v>
      </c>
      <c r="AR14" s="6">
        <f t="shared" si="12"/>
        <v>-1</v>
      </c>
      <c r="AS14" s="6">
        <f t="shared" si="13"/>
        <v>-1</v>
      </c>
      <c r="AT14" s="6">
        <f t="shared" si="14"/>
        <v>-1</v>
      </c>
      <c r="AU14" s="6">
        <f t="shared" si="15"/>
        <v>-1</v>
      </c>
      <c r="AV14" s="6">
        <f t="shared" si="16"/>
        <v>0</v>
      </c>
      <c r="AW14" s="6">
        <f t="shared" si="17"/>
        <v>0</v>
      </c>
      <c r="AX14" s="6">
        <f t="shared" si="18"/>
        <v>0</v>
      </c>
      <c r="AY14" s="6">
        <f t="shared" si="19"/>
        <v>0</v>
      </c>
      <c r="AZ14" s="6">
        <f t="shared" si="20"/>
        <v>0</v>
      </c>
      <c r="BA14" s="6">
        <f t="shared" si="21"/>
        <v>-1</v>
      </c>
      <c r="BB14" s="6">
        <f t="shared" si="22"/>
        <v>-1</v>
      </c>
      <c r="BC14" s="6">
        <f t="shared" si="23"/>
        <v>0</v>
      </c>
      <c r="BD14" s="6">
        <f t="shared" si="24"/>
        <v>0</v>
      </c>
      <c r="BE14" s="6">
        <f t="shared" si="25"/>
        <v>0</v>
      </c>
      <c r="BF14" s="6">
        <f t="shared" si="26"/>
        <v>-1</v>
      </c>
      <c r="BG14" s="6">
        <f t="shared" si="27"/>
        <v>-1</v>
      </c>
      <c r="BH14" s="6">
        <f t="shared" si="28"/>
        <v>0</v>
      </c>
      <c r="BI14" s="6">
        <f t="shared" si="29"/>
        <v>0</v>
      </c>
      <c r="BJ14" s="6">
        <f t="shared" si="30"/>
        <v>0</v>
      </c>
      <c r="BK14" s="6">
        <f t="shared" si="31"/>
        <v>0</v>
      </c>
      <c r="BL14" s="6">
        <f t="shared" si="32"/>
        <v>0</v>
      </c>
      <c r="BM14" s="3">
        <f t="shared" si="33"/>
        <v>-9</v>
      </c>
      <c r="BN14" s="3"/>
      <c r="BO14" s="3"/>
    </row>
    <row r="15" spans="1:67" x14ac:dyDescent="0.25">
      <c r="A15" s="3">
        <v>9</v>
      </c>
      <c r="B15" s="8" t="s">
        <v>58</v>
      </c>
      <c r="C15" s="9"/>
      <c r="D15" s="191"/>
      <c r="E15" s="9" t="s">
        <v>48</v>
      </c>
      <c r="F15" s="9" t="s">
        <v>299</v>
      </c>
      <c r="G15" s="9" t="s">
        <v>299</v>
      </c>
      <c r="H15" s="9" t="s">
        <v>48</v>
      </c>
      <c r="I15" s="9"/>
      <c r="J15" s="9"/>
      <c r="K15" s="9"/>
      <c r="L15" s="9" t="s">
        <v>48</v>
      </c>
      <c r="M15" s="9" t="s">
        <v>48</v>
      </c>
      <c r="N15" s="9" t="s">
        <v>48</v>
      </c>
      <c r="O15" s="9"/>
      <c r="P15" s="9"/>
      <c r="Q15" s="9" t="s">
        <v>299</v>
      </c>
      <c r="R15" s="9"/>
      <c r="S15" s="9"/>
      <c r="T15" s="9"/>
      <c r="U15" s="9"/>
      <c r="V15" s="9" t="s">
        <v>48</v>
      </c>
      <c r="W15" s="45"/>
      <c r="X15" s="45"/>
      <c r="Y15" s="45"/>
      <c r="Z15" s="45"/>
      <c r="AA15" s="9"/>
      <c r="AB15" s="105">
        <f t="shared" si="1"/>
        <v>6</v>
      </c>
      <c r="AC15" s="101">
        <f t="shared" si="2"/>
        <v>0</v>
      </c>
      <c r="AD15" s="101">
        <f t="shared" si="3"/>
        <v>0</v>
      </c>
      <c r="AE15" s="101">
        <f t="shared" si="4"/>
        <v>-5</v>
      </c>
      <c r="AF15" s="101">
        <f t="shared" si="5"/>
        <v>0</v>
      </c>
      <c r="AG15" s="102">
        <f t="shared" si="6"/>
        <v>0</v>
      </c>
      <c r="AH15" s="6"/>
      <c r="AI15" s="6"/>
      <c r="AK15" s="195">
        <f t="shared" si="7"/>
        <v>6</v>
      </c>
      <c r="AN15" s="6">
        <f t="shared" si="8"/>
        <v>0</v>
      </c>
      <c r="AO15" s="6">
        <f t="shared" si="9"/>
        <v>0</v>
      </c>
      <c r="AP15" s="6">
        <f t="shared" si="10"/>
        <v>-1</v>
      </c>
      <c r="AQ15" s="6">
        <f t="shared" si="11"/>
        <v>0</v>
      </c>
      <c r="AR15" s="6">
        <f t="shared" si="12"/>
        <v>0</v>
      </c>
      <c r="AS15" s="6">
        <f t="shared" si="13"/>
        <v>-1</v>
      </c>
      <c r="AT15" s="6">
        <f t="shared" si="14"/>
        <v>0</v>
      </c>
      <c r="AU15" s="6">
        <f t="shared" si="15"/>
        <v>0</v>
      </c>
      <c r="AV15" s="6">
        <f t="shared" si="16"/>
        <v>0</v>
      </c>
      <c r="AW15" s="6">
        <f t="shared" si="17"/>
        <v>-1</v>
      </c>
      <c r="AX15" s="6">
        <f t="shared" si="18"/>
        <v>-1</v>
      </c>
      <c r="AY15" s="6">
        <f t="shared" si="19"/>
        <v>0</v>
      </c>
      <c r="AZ15" s="6">
        <f t="shared" si="20"/>
        <v>0</v>
      </c>
      <c r="BA15" s="6">
        <f t="shared" si="21"/>
        <v>0</v>
      </c>
      <c r="BB15" s="6">
        <f t="shared" si="22"/>
        <v>0</v>
      </c>
      <c r="BC15" s="6">
        <f t="shared" si="23"/>
        <v>0</v>
      </c>
      <c r="BD15" s="6">
        <f t="shared" si="24"/>
        <v>0</v>
      </c>
      <c r="BE15" s="6">
        <f t="shared" si="25"/>
        <v>0</v>
      </c>
      <c r="BF15" s="6">
        <f t="shared" si="26"/>
        <v>0</v>
      </c>
      <c r="BG15" s="6">
        <f t="shared" si="27"/>
        <v>-1</v>
      </c>
      <c r="BH15" s="6">
        <f t="shared" si="28"/>
        <v>0</v>
      </c>
      <c r="BI15" s="6">
        <f t="shared" si="29"/>
        <v>0</v>
      </c>
      <c r="BJ15" s="6">
        <f t="shared" si="30"/>
        <v>0</v>
      </c>
      <c r="BK15" s="6">
        <f t="shared" si="31"/>
        <v>0</v>
      </c>
      <c r="BL15" s="6">
        <f t="shared" si="32"/>
        <v>0</v>
      </c>
      <c r="BM15" s="3">
        <f t="shared" si="33"/>
        <v>-5</v>
      </c>
      <c r="BN15" s="3"/>
      <c r="BO15" s="3"/>
    </row>
    <row r="16" spans="1:67" x14ac:dyDescent="0.25">
      <c r="A16" s="3">
        <v>10</v>
      </c>
      <c r="B16" s="8" t="s">
        <v>59</v>
      </c>
      <c r="C16" s="9" t="s">
        <v>48</v>
      </c>
      <c r="D16" s="191" t="s">
        <v>48</v>
      </c>
      <c r="E16" s="9" t="s">
        <v>299</v>
      </c>
      <c r="F16" s="9"/>
      <c r="G16" s="9" t="s">
        <v>48</v>
      </c>
      <c r="H16" s="9"/>
      <c r="I16" s="9" t="s">
        <v>48</v>
      </c>
      <c r="J16" s="9" t="s">
        <v>48</v>
      </c>
      <c r="K16" s="9"/>
      <c r="L16" s="9"/>
      <c r="M16" s="9" t="s">
        <v>48</v>
      </c>
      <c r="N16" s="9"/>
      <c r="O16" s="9" t="s">
        <v>48</v>
      </c>
      <c r="P16" s="9" t="s">
        <v>299</v>
      </c>
      <c r="Q16" s="9" t="s">
        <v>48</v>
      </c>
      <c r="R16" s="9" t="s">
        <v>299</v>
      </c>
      <c r="S16" s="9" t="s">
        <v>299</v>
      </c>
      <c r="T16" s="9" t="s">
        <v>48</v>
      </c>
      <c r="U16" s="9"/>
      <c r="V16" s="9" t="s">
        <v>299</v>
      </c>
      <c r="W16" s="45"/>
      <c r="X16" s="45"/>
      <c r="Y16" s="45"/>
      <c r="Z16" s="45"/>
      <c r="AA16" s="9"/>
      <c r="AB16" s="105">
        <f t="shared" si="1"/>
        <v>9</v>
      </c>
      <c r="AC16" s="101">
        <f t="shared" si="2"/>
        <v>0</v>
      </c>
      <c r="AD16" s="101">
        <f t="shared" si="3"/>
        <v>0</v>
      </c>
      <c r="AE16" s="101">
        <f t="shared" si="4"/>
        <v>-8</v>
      </c>
      <c r="AF16" s="101">
        <f t="shared" si="5"/>
        <v>0</v>
      </c>
      <c r="AG16" s="102">
        <f t="shared" si="6"/>
        <v>0</v>
      </c>
      <c r="AK16" s="195">
        <f t="shared" si="7"/>
        <v>9</v>
      </c>
      <c r="AN16" s="6">
        <f t="shared" si="8"/>
        <v>-1</v>
      </c>
      <c r="AO16" s="6">
        <f t="shared" si="9"/>
        <v>0</v>
      </c>
      <c r="AP16" s="6">
        <f t="shared" si="10"/>
        <v>0</v>
      </c>
      <c r="AQ16" s="6">
        <f t="shared" si="11"/>
        <v>0</v>
      </c>
      <c r="AR16" s="6">
        <f t="shared" si="12"/>
        <v>-1</v>
      </c>
      <c r="AS16" s="6">
        <f t="shared" si="13"/>
        <v>0</v>
      </c>
      <c r="AT16" s="6">
        <f t="shared" si="14"/>
        <v>-1</v>
      </c>
      <c r="AU16" s="6">
        <f t="shared" si="15"/>
        <v>-1</v>
      </c>
      <c r="AV16" s="6">
        <f t="shared" si="16"/>
        <v>0</v>
      </c>
      <c r="AW16" s="6">
        <f t="shared" si="17"/>
        <v>0</v>
      </c>
      <c r="AX16" s="6">
        <f t="shared" si="18"/>
        <v>-1</v>
      </c>
      <c r="AY16" s="6">
        <f t="shared" si="19"/>
        <v>0</v>
      </c>
      <c r="AZ16" s="6">
        <f t="shared" si="20"/>
        <v>0</v>
      </c>
      <c r="BA16" s="6">
        <f t="shared" si="21"/>
        <v>-1</v>
      </c>
      <c r="BB16" s="6">
        <f t="shared" si="22"/>
        <v>0</v>
      </c>
      <c r="BC16" s="6">
        <f t="shared" si="23"/>
        <v>0</v>
      </c>
      <c r="BD16" s="6">
        <f t="shared" si="24"/>
        <v>-1</v>
      </c>
      <c r="BE16" s="6">
        <f t="shared" si="25"/>
        <v>-1</v>
      </c>
      <c r="BF16" s="6">
        <f t="shared" si="26"/>
        <v>0</v>
      </c>
      <c r="BG16" s="6">
        <f t="shared" si="27"/>
        <v>0</v>
      </c>
      <c r="BH16" s="6">
        <f t="shared" si="28"/>
        <v>0</v>
      </c>
      <c r="BI16" s="6">
        <f t="shared" si="29"/>
        <v>0</v>
      </c>
      <c r="BJ16" s="6">
        <f t="shared" si="30"/>
        <v>0</v>
      </c>
      <c r="BK16" s="6">
        <f t="shared" si="31"/>
        <v>0</v>
      </c>
      <c r="BL16" s="6">
        <f t="shared" si="32"/>
        <v>0</v>
      </c>
      <c r="BM16" s="3">
        <f t="shared" si="33"/>
        <v>-8</v>
      </c>
      <c r="BN16" s="3"/>
      <c r="BO16" s="3"/>
    </row>
    <row r="17" spans="1:67" x14ac:dyDescent="0.25">
      <c r="A17" s="3">
        <v>11</v>
      </c>
      <c r="B17" s="8" t="s">
        <v>60</v>
      </c>
      <c r="C17" s="9" t="s">
        <v>48</v>
      </c>
      <c r="D17" s="191"/>
      <c r="E17" s="9" t="s">
        <v>48</v>
      </c>
      <c r="F17" s="9" t="s">
        <v>48</v>
      </c>
      <c r="G17" s="9" t="s">
        <v>299</v>
      </c>
      <c r="H17" s="9" t="s">
        <v>48</v>
      </c>
      <c r="I17" s="9" t="s">
        <v>48</v>
      </c>
      <c r="J17" s="9" t="s">
        <v>299</v>
      </c>
      <c r="K17" s="9"/>
      <c r="L17" s="9" t="s">
        <v>299</v>
      </c>
      <c r="M17" s="9" t="s">
        <v>48</v>
      </c>
      <c r="N17" s="9"/>
      <c r="O17" s="9" t="s">
        <v>299</v>
      </c>
      <c r="P17" s="9" t="s">
        <v>48</v>
      </c>
      <c r="Q17" s="9" t="s">
        <v>299</v>
      </c>
      <c r="R17" s="9" t="s">
        <v>48</v>
      </c>
      <c r="S17" s="9" t="s">
        <v>48</v>
      </c>
      <c r="T17" s="9" t="s">
        <v>48</v>
      </c>
      <c r="U17" s="9"/>
      <c r="V17" s="9" t="s">
        <v>299</v>
      </c>
      <c r="W17" s="45"/>
      <c r="X17" s="45"/>
      <c r="Y17" s="45"/>
      <c r="Z17" s="45"/>
      <c r="AA17" s="9"/>
      <c r="AB17" s="105">
        <f t="shared" si="1"/>
        <v>10</v>
      </c>
      <c r="AC17" s="101">
        <f t="shared" si="2"/>
        <v>0</v>
      </c>
      <c r="AD17" s="101">
        <f t="shared" si="3"/>
        <v>0</v>
      </c>
      <c r="AE17" s="101">
        <f t="shared" si="4"/>
        <v>-10</v>
      </c>
      <c r="AF17" s="101">
        <f t="shared" si="5"/>
        <v>0</v>
      </c>
      <c r="AG17" s="102" t="e">
        <f t="shared" si="6"/>
        <v>#DIV/0!</v>
      </c>
      <c r="AK17" s="195">
        <f t="shared" si="7"/>
        <v>10</v>
      </c>
      <c r="AN17" s="6">
        <f t="shared" si="8"/>
        <v>-1</v>
      </c>
      <c r="AO17" s="6">
        <f t="shared" si="9"/>
        <v>0</v>
      </c>
      <c r="AP17" s="6">
        <f t="shared" si="10"/>
        <v>-1</v>
      </c>
      <c r="AQ17" s="6">
        <f t="shared" si="11"/>
        <v>-1</v>
      </c>
      <c r="AR17" s="6">
        <f t="shared" si="12"/>
        <v>0</v>
      </c>
      <c r="AS17" s="6">
        <f t="shared" si="13"/>
        <v>-1</v>
      </c>
      <c r="AT17" s="6">
        <f t="shared" si="14"/>
        <v>-1</v>
      </c>
      <c r="AU17" s="6">
        <f t="shared" si="15"/>
        <v>0</v>
      </c>
      <c r="AV17" s="6">
        <f t="shared" si="16"/>
        <v>0</v>
      </c>
      <c r="AW17" s="6">
        <f t="shared" si="17"/>
        <v>0</v>
      </c>
      <c r="AX17" s="6">
        <f t="shared" si="18"/>
        <v>-1</v>
      </c>
      <c r="AY17" s="6">
        <f t="shared" si="19"/>
        <v>0</v>
      </c>
      <c r="AZ17" s="6">
        <f t="shared" si="20"/>
        <v>-1</v>
      </c>
      <c r="BA17" s="6">
        <f t="shared" si="21"/>
        <v>0</v>
      </c>
      <c r="BB17" s="6">
        <f t="shared" si="22"/>
        <v>0</v>
      </c>
      <c r="BC17" s="6">
        <f t="shared" si="23"/>
        <v>-1</v>
      </c>
      <c r="BD17" s="6">
        <f t="shared" si="24"/>
        <v>-1</v>
      </c>
      <c r="BE17" s="6">
        <f t="shared" si="25"/>
        <v>0</v>
      </c>
      <c r="BF17" s="6">
        <f t="shared" si="26"/>
        <v>-1</v>
      </c>
      <c r="BG17" s="6">
        <f t="shared" si="27"/>
        <v>0</v>
      </c>
      <c r="BH17" s="6">
        <f t="shared" si="28"/>
        <v>0</v>
      </c>
      <c r="BI17" s="6">
        <f t="shared" si="29"/>
        <v>0</v>
      </c>
      <c r="BJ17" s="6">
        <f t="shared" si="30"/>
        <v>0</v>
      </c>
      <c r="BK17" s="6">
        <f t="shared" si="31"/>
        <v>0</v>
      </c>
      <c r="BL17" s="6">
        <f t="shared" si="32"/>
        <v>0</v>
      </c>
      <c r="BM17" s="3">
        <f t="shared" si="33"/>
        <v>-10</v>
      </c>
      <c r="BN17" s="3"/>
      <c r="BO17" s="3"/>
    </row>
    <row r="18" spans="1:67" x14ac:dyDescent="0.25">
      <c r="A18" s="3">
        <v>12</v>
      </c>
      <c r="B18" s="8" t="s">
        <v>61</v>
      </c>
      <c r="C18" s="9" t="s">
        <v>299</v>
      </c>
      <c r="D18" s="191"/>
      <c r="E18" s="9" t="s">
        <v>48</v>
      </c>
      <c r="F18" s="9" t="s">
        <v>48</v>
      </c>
      <c r="G18" s="9" t="s">
        <v>48</v>
      </c>
      <c r="H18" s="9" t="s">
        <v>299</v>
      </c>
      <c r="I18" s="9" t="s">
        <v>48</v>
      </c>
      <c r="J18" s="9" t="s">
        <v>299</v>
      </c>
      <c r="K18" s="9" t="s">
        <v>48</v>
      </c>
      <c r="L18" s="9" t="s">
        <v>48</v>
      </c>
      <c r="M18" s="9" t="s">
        <v>299</v>
      </c>
      <c r="N18" s="9"/>
      <c r="O18" s="9" t="s">
        <v>48</v>
      </c>
      <c r="P18" s="9" t="s">
        <v>48</v>
      </c>
      <c r="Q18" s="9" t="s">
        <v>299</v>
      </c>
      <c r="R18" s="9"/>
      <c r="S18" s="9"/>
      <c r="T18" s="9" t="s">
        <v>48</v>
      </c>
      <c r="U18" s="9" t="s">
        <v>48</v>
      </c>
      <c r="V18" s="9" t="s">
        <v>299</v>
      </c>
      <c r="W18" s="45"/>
      <c r="X18" s="45"/>
      <c r="Y18" s="45"/>
      <c r="Z18" s="45"/>
      <c r="AA18" s="9"/>
      <c r="AB18" s="105">
        <f t="shared" si="1"/>
        <v>10</v>
      </c>
      <c r="AC18" s="101">
        <f t="shared" si="2"/>
        <v>0</v>
      </c>
      <c r="AD18" s="101">
        <f t="shared" si="3"/>
        <v>0</v>
      </c>
      <c r="AE18" s="101">
        <f t="shared" si="4"/>
        <v>-9</v>
      </c>
      <c r="AF18" s="101">
        <f t="shared" si="5"/>
        <v>0</v>
      </c>
      <c r="AG18" s="102">
        <f t="shared" si="6"/>
        <v>0</v>
      </c>
      <c r="AK18" s="195">
        <f t="shared" si="7"/>
        <v>10</v>
      </c>
      <c r="AN18" s="6">
        <f t="shared" si="8"/>
        <v>0</v>
      </c>
      <c r="AO18" s="6">
        <f t="shared" si="9"/>
        <v>0</v>
      </c>
      <c r="AP18" s="6">
        <f t="shared" si="10"/>
        <v>-1</v>
      </c>
      <c r="AQ18" s="6">
        <f t="shared" si="11"/>
        <v>-1</v>
      </c>
      <c r="AR18" s="6">
        <f t="shared" si="12"/>
        <v>-1</v>
      </c>
      <c r="AS18" s="6">
        <f t="shared" si="13"/>
        <v>0</v>
      </c>
      <c r="AT18" s="6">
        <f t="shared" si="14"/>
        <v>-1</v>
      </c>
      <c r="AU18" s="6">
        <f t="shared" si="15"/>
        <v>0</v>
      </c>
      <c r="AV18" s="6">
        <f t="shared" si="16"/>
        <v>0</v>
      </c>
      <c r="AW18" s="6">
        <f t="shared" si="17"/>
        <v>-1</v>
      </c>
      <c r="AX18" s="6">
        <f t="shared" si="18"/>
        <v>0</v>
      </c>
      <c r="AY18" s="6">
        <f t="shared" si="19"/>
        <v>0</v>
      </c>
      <c r="AZ18" s="6">
        <f t="shared" si="20"/>
        <v>0</v>
      </c>
      <c r="BA18" s="6">
        <f t="shared" si="21"/>
        <v>-1</v>
      </c>
      <c r="BB18" s="6">
        <f t="shared" si="22"/>
        <v>-1</v>
      </c>
      <c r="BC18" s="6">
        <f t="shared" si="23"/>
        <v>-1</v>
      </c>
      <c r="BD18" s="6">
        <f t="shared" si="24"/>
        <v>-1</v>
      </c>
      <c r="BE18" s="6">
        <f t="shared" si="25"/>
        <v>0</v>
      </c>
      <c r="BF18" s="6">
        <f t="shared" si="26"/>
        <v>0</v>
      </c>
      <c r="BG18" s="6">
        <f t="shared" si="27"/>
        <v>0</v>
      </c>
      <c r="BH18" s="6">
        <f t="shared" si="28"/>
        <v>0</v>
      </c>
      <c r="BI18" s="6">
        <f t="shared" si="29"/>
        <v>0</v>
      </c>
      <c r="BJ18" s="6">
        <f t="shared" si="30"/>
        <v>0</v>
      </c>
      <c r="BK18" s="6">
        <f t="shared" si="31"/>
        <v>0</v>
      </c>
      <c r="BL18" s="6">
        <f t="shared" si="32"/>
        <v>0</v>
      </c>
      <c r="BM18" s="3">
        <f t="shared" si="33"/>
        <v>-9</v>
      </c>
      <c r="BN18" s="3"/>
      <c r="BO18" s="3"/>
    </row>
    <row r="19" spans="1:67" x14ac:dyDescent="0.25">
      <c r="A19" s="3">
        <v>13</v>
      </c>
      <c r="B19" s="8" t="s">
        <v>62</v>
      </c>
      <c r="C19" s="9" t="s">
        <v>48</v>
      </c>
      <c r="D19" s="191" t="s">
        <v>48</v>
      </c>
      <c r="E19" s="9" t="s">
        <v>48</v>
      </c>
      <c r="F19" s="9" t="s">
        <v>48</v>
      </c>
      <c r="G19" s="9" t="s">
        <v>299</v>
      </c>
      <c r="H19" s="9" t="s">
        <v>48</v>
      </c>
      <c r="I19" s="9" t="s">
        <v>48</v>
      </c>
      <c r="J19" s="9" t="s">
        <v>299</v>
      </c>
      <c r="K19" s="9"/>
      <c r="L19" s="9" t="s">
        <v>299</v>
      </c>
      <c r="M19" s="9" t="s">
        <v>48</v>
      </c>
      <c r="N19" s="9"/>
      <c r="O19" s="9" t="s">
        <v>299</v>
      </c>
      <c r="P19" s="9" t="s">
        <v>299</v>
      </c>
      <c r="Q19" s="9" t="s">
        <v>48</v>
      </c>
      <c r="R19" s="9" t="s">
        <v>52</v>
      </c>
      <c r="S19" s="9" t="s">
        <v>299</v>
      </c>
      <c r="T19" s="9" t="s">
        <v>48</v>
      </c>
      <c r="U19" s="9"/>
      <c r="V19" s="9" t="s">
        <v>48</v>
      </c>
      <c r="W19" s="45"/>
      <c r="X19" s="45"/>
      <c r="Y19" s="45"/>
      <c r="Z19" s="45"/>
      <c r="AA19" s="9"/>
      <c r="AB19" s="105">
        <f t="shared" si="1"/>
        <v>11</v>
      </c>
      <c r="AC19" s="101">
        <f t="shared" si="2"/>
        <v>0</v>
      </c>
      <c r="AD19" s="101">
        <f t="shared" si="3"/>
        <v>0</v>
      </c>
      <c r="AE19" s="101">
        <f t="shared" si="4"/>
        <v>-9</v>
      </c>
      <c r="AF19" s="101">
        <f t="shared" si="5"/>
        <v>1</v>
      </c>
      <c r="AG19" s="102">
        <f t="shared" si="6"/>
        <v>0</v>
      </c>
      <c r="AH19" s="6"/>
      <c r="AI19" s="6"/>
      <c r="AK19" s="195">
        <f t="shared" si="7"/>
        <v>10</v>
      </c>
      <c r="AN19" s="6">
        <f t="shared" si="8"/>
        <v>-1</v>
      </c>
      <c r="AO19" s="6">
        <f t="shared" si="9"/>
        <v>0</v>
      </c>
      <c r="AP19" s="6">
        <f t="shared" si="10"/>
        <v>-1</v>
      </c>
      <c r="AQ19" s="6">
        <f t="shared" si="11"/>
        <v>-1</v>
      </c>
      <c r="AR19" s="6">
        <f t="shared" si="12"/>
        <v>0</v>
      </c>
      <c r="AS19" s="6">
        <f t="shared" si="13"/>
        <v>-1</v>
      </c>
      <c r="AT19" s="6">
        <f t="shared" si="14"/>
        <v>-1</v>
      </c>
      <c r="AU19" s="6">
        <f t="shared" si="15"/>
        <v>0</v>
      </c>
      <c r="AV19" s="6">
        <f t="shared" si="16"/>
        <v>0</v>
      </c>
      <c r="AW19" s="6">
        <f t="shared" si="17"/>
        <v>0</v>
      </c>
      <c r="AX19" s="6">
        <f t="shared" si="18"/>
        <v>-1</v>
      </c>
      <c r="AY19" s="6">
        <f t="shared" si="19"/>
        <v>0</v>
      </c>
      <c r="AZ19" s="6">
        <f t="shared" si="20"/>
        <v>0</v>
      </c>
      <c r="BA19" s="6">
        <f t="shared" si="21"/>
        <v>0</v>
      </c>
      <c r="BB19" s="6">
        <f t="shared" si="22"/>
        <v>0</v>
      </c>
      <c r="BC19" s="6">
        <f t="shared" si="23"/>
        <v>0</v>
      </c>
      <c r="BD19" s="6">
        <f t="shared" si="24"/>
        <v>-1</v>
      </c>
      <c r="BE19" s="6">
        <f t="shared" si="25"/>
        <v>-1</v>
      </c>
      <c r="BF19" s="6">
        <f t="shared" si="26"/>
        <v>0</v>
      </c>
      <c r="BG19" s="6">
        <f t="shared" si="27"/>
        <v>-1</v>
      </c>
      <c r="BH19" s="6">
        <f t="shared" si="28"/>
        <v>0</v>
      </c>
      <c r="BI19" s="6">
        <f t="shared" si="29"/>
        <v>0</v>
      </c>
      <c r="BJ19" s="6">
        <f t="shared" si="30"/>
        <v>0</v>
      </c>
      <c r="BK19" s="6">
        <f t="shared" si="31"/>
        <v>0</v>
      </c>
      <c r="BL19" s="6">
        <f t="shared" si="32"/>
        <v>0</v>
      </c>
      <c r="BM19" s="3">
        <f t="shared" si="33"/>
        <v>-9</v>
      </c>
      <c r="BN19" s="3"/>
      <c r="BO19" s="3"/>
    </row>
    <row r="20" spans="1:67" x14ac:dyDescent="0.25">
      <c r="A20" s="3">
        <v>14</v>
      </c>
      <c r="B20" s="8" t="s">
        <v>63</v>
      </c>
      <c r="C20" s="9"/>
      <c r="D20" s="191"/>
      <c r="E20" s="9" t="s">
        <v>48</v>
      </c>
      <c r="F20" s="9" t="s">
        <v>48</v>
      </c>
      <c r="G20" s="9" t="s">
        <v>48</v>
      </c>
      <c r="H20" s="9" t="s">
        <v>299</v>
      </c>
      <c r="I20" s="9" t="s">
        <v>299</v>
      </c>
      <c r="J20" s="9" t="s">
        <v>48</v>
      </c>
      <c r="K20" s="9"/>
      <c r="L20" s="9"/>
      <c r="M20" s="9" t="s">
        <v>299</v>
      </c>
      <c r="N20" s="9" t="s">
        <v>48</v>
      </c>
      <c r="O20" s="9" t="s">
        <v>48</v>
      </c>
      <c r="P20" s="9"/>
      <c r="Q20" s="9" t="s">
        <v>299</v>
      </c>
      <c r="R20" s="9" t="s">
        <v>48</v>
      </c>
      <c r="S20" s="9"/>
      <c r="T20" s="9" t="s">
        <v>52</v>
      </c>
      <c r="U20" s="9" t="s">
        <v>299</v>
      </c>
      <c r="V20" s="9" t="s">
        <v>48</v>
      </c>
      <c r="W20" s="45"/>
      <c r="X20" s="45"/>
      <c r="Y20" s="45"/>
      <c r="Z20" s="45"/>
      <c r="AA20" s="9"/>
      <c r="AB20" s="105">
        <f t="shared" si="1"/>
        <v>9</v>
      </c>
      <c r="AC20" s="101">
        <f t="shared" si="2"/>
        <v>0</v>
      </c>
      <c r="AD20" s="101">
        <f t="shared" si="3"/>
        <v>0</v>
      </c>
      <c r="AE20" s="101">
        <f t="shared" si="4"/>
        <v>-7</v>
      </c>
      <c r="AF20" s="101">
        <f t="shared" si="5"/>
        <v>1</v>
      </c>
      <c r="AG20" s="102">
        <f t="shared" si="6"/>
        <v>0</v>
      </c>
      <c r="AH20" s="6"/>
      <c r="AI20" s="6"/>
      <c r="AK20" s="195">
        <f t="shared" si="7"/>
        <v>8</v>
      </c>
      <c r="AN20" s="6">
        <f t="shared" si="8"/>
        <v>0</v>
      </c>
      <c r="AO20" s="6">
        <f t="shared" si="9"/>
        <v>0</v>
      </c>
      <c r="AP20" s="6">
        <f t="shared" si="10"/>
        <v>-1</v>
      </c>
      <c r="AQ20" s="6">
        <f t="shared" si="11"/>
        <v>-1</v>
      </c>
      <c r="AR20" s="6">
        <f t="shared" si="12"/>
        <v>-1</v>
      </c>
      <c r="AS20" s="6">
        <f t="shared" si="13"/>
        <v>0</v>
      </c>
      <c r="AT20" s="6">
        <f t="shared" si="14"/>
        <v>0</v>
      </c>
      <c r="AU20" s="6">
        <f t="shared" si="15"/>
        <v>-1</v>
      </c>
      <c r="AV20" s="6">
        <f t="shared" si="16"/>
        <v>0</v>
      </c>
      <c r="AW20" s="6">
        <f t="shared" si="17"/>
        <v>0</v>
      </c>
      <c r="AX20" s="6">
        <f t="shared" si="18"/>
        <v>0</v>
      </c>
      <c r="AY20" s="6">
        <f t="shared" si="19"/>
        <v>0</v>
      </c>
      <c r="AZ20" s="6">
        <f t="shared" si="20"/>
        <v>0</v>
      </c>
      <c r="BA20" s="6">
        <f t="shared" si="21"/>
        <v>-1</v>
      </c>
      <c r="BB20" s="6">
        <f t="shared" si="22"/>
        <v>0</v>
      </c>
      <c r="BC20" s="6">
        <f t="shared" si="23"/>
        <v>0</v>
      </c>
      <c r="BD20" s="6">
        <f t="shared" si="24"/>
        <v>0</v>
      </c>
      <c r="BE20" s="6">
        <f t="shared" si="25"/>
        <v>0</v>
      </c>
      <c r="BF20" s="6">
        <f t="shared" si="26"/>
        <v>-1</v>
      </c>
      <c r="BG20" s="6">
        <f t="shared" si="27"/>
        <v>-1</v>
      </c>
      <c r="BH20" s="6">
        <f t="shared" si="28"/>
        <v>0</v>
      </c>
      <c r="BI20" s="6">
        <f t="shared" si="29"/>
        <v>0</v>
      </c>
      <c r="BJ20" s="6">
        <f t="shared" si="30"/>
        <v>0</v>
      </c>
      <c r="BK20" s="6">
        <f t="shared" si="31"/>
        <v>0</v>
      </c>
      <c r="BL20" s="6">
        <f t="shared" si="32"/>
        <v>0</v>
      </c>
      <c r="BM20" s="3">
        <f t="shared" si="33"/>
        <v>-7</v>
      </c>
      <c r="BN20" s="3"/>
      <c r="BO20" s="3"/>
    </row>
    <row r="21" spans="1:67" x14ac:dyDescent="0.25">
      <c r="A21" s="3">
        <v>15</v>
      </c>
      <c r="B21" s="238" t="s">
        <v>64</v>
      </c>
      <c r="C21" s="274" t="s">
        <v>48</v>
      </c>
      <c r="D21" s="191"/>
      <c r="E21" s="9"/>
      <c r="F21" s="9"/>
      <c r="G21" s="9"/>
      <c r="H21" s="9" t="s">
        <v>48</v>
      </c>
      <c r="I21" s="9" t="s">
        <v>48</v>
      </c>
      <c r="J21" s="9" t="s">
        <v>299</v>
      </c>
      <c r="K21" s="9"/>
      <c r="L21" s="9" t="s">
        <v>48</v>
      </c>
      <c r="M21" s="9" t="s">
        <v>299</v>
      </c>
      <c r="N21" s="9" t="s">
        <v>48</v>
      </c>
      <c r="O21" s="9" t="s">
        <v>299</v>
      </c>
      <c r="P21" s="9" t="s">
        <v>48</v>
      </c>
      <c r="Q21" s="9" t="s">
        <v>299</v>
      </c>
      <c r="R21" s="9"/>
      <c r="S21" s="9" t="s">
        <v>48</v>
      </c>
      <c r="T21" s="9" t="s">
        <v>299</v>
      </c>
      <c r="U21" s="9"/>
      <c r="V21" s="9" t="s">
        <v>48</v>
      </c>
      <c r="W21" s="45"/>
      <c r="X21" s="45"/>
      <c r="Y21" s="45"/>
      <c r="Z21" s="45"/>
      <c r="AA21" s="9"/>
      <c r="AB21" s="105">
        <f t="shared" si="1"/>
        <v>8</v>
      </c>
      <c r="AC21" s="101">
        <f t="shared" si="2"/>
        <v>0</v>
      </c>
      <c r="AD21" s="101">
        <f t="shared" si="3"/>
        <v>0</v>
      </c>
      <c r="AE21" s="101">
        <f t="shared" si="4"/>
        <v>-7</v>
      </c>
      <c r="AF21" s="101">
        <f t="shared" si="5"/>
        <v>0</v>
      </c>
      <c r="AG21" s="102">
        <f t="shared" si="6"/>
        <v>0</v>
      </c>
      <c r="AK21" s="195">
        <f t="shared" si="7"/>
        <v>8</v>
      </c>
      <c r="AN21" s="6">
        <f t="shared" si="8"/>
        <v>-1</v>
      </c>
      <c r="AO21" s="6">
        <f t="shared" si="9"/>
        <v>0</v>
      </c>
      <c r="AP21" s="6">
        <f t="shared" si="10"/>
        <v>0</v>
      </c>
      <c r="AQ21" s="6">
        <f t="shared" si="11"/>
        <v>0</v>
      </c>
      <c r="AR21" s="6">
        <f t="shared" si="12"/>
        <v>0</v>
      </c>
      <c r="AS21" s="6">
        <f t="shared" si="13"/>
        <v>-1</v>
      </c>
      <c r="AT21" s="6">
        <f t="shared" si="14"/>
        <v>-1</v>
      </c>
      <c r="AU21" s="6">
        <f t="shared" si="15"/>
        <v>0</v>
      </c>
      <c r="AV21" s="6">
        <f t="shared" si="16"/>
        <v>0</v>
      </c>
      <c r="AW21" s="6">
        <f t="shared" si="17"/>
        <v>-1</v>
      </c>
      <c r="AX21" s="6">
        <f t="shared" si="18"/>
        <v>0</v>
      </c>
      <c r="AY21" s="6">
        <f t="shared" si="19"/>
        <v>0</v>
      </c>
      <c r="AZ21" s="6">
        <f t="shared" si="20"/>
        <v>-1</v>
      </c>
      <c r="BA21" s="6">
        <f t="shared" si="21"/>
        <v>0</v>
      </c>
      <c r="BB21" s="6">
        <f t="shared" si="22"/>
        <v>0</v>
      </c>
      <c r="BC21" s="6">
        <f t="shared" si="23"/>
        <v>-1</v>
      </c>
      <c r="BD21" s="6">
        <f t="shared" si="24"/>
        <v>0</v>
      </c>
      <c r="BE21" s="6">
        <f t="shared" si="25"/>
        <v>0</v>
      </c>
      <c r="BF21" s="6">
        <f t="shared" si="26"/>
        <v>0</v>
      </c>
      <c r="BG21" s="6">
        <f t="shared" si="27"/>
        <v>-1</v>
      </c>
      <c r="BH21" s="6">
        <f t="shared" si="28"/>
        <v>0</v>
      </c>
      <c r="BI21" s="6">
        <f t="shared" si="29"/>
        <v>0</v>
      </c>
      <c r="BJ21" s="6">
        <f t="shared" si="30"/>
        <v>0</v>
      </c>
      <c r="BK21" s="6">
        <f t="shared" si="31"/>
        <v>0</v>
      </c>
      <c r="BL21" s="6">
        <f t="shared" si="32"/>
        <v>0</v>
      </c>
      <c r="BM21" s="3">
        <f t="shared" si="33"/>
        <v>-7</v>
      </c>
      <c r="BN21" s="3"/>
      <c r="BO21" s="3"/>
    </row>
    <row r="22" spans="1:67" x14ac:dyDescent="0.25">
      <c r="A22" s="3">
        <v>16</v>
      </c>
      <c r="B22" s="235" t="s">
        <v>65</v>
      </c>
      <c r="C22" s="272" t="s">
        <v>48</v>
      </c>
      <c r="D22" s="273"/>
      <c r="E22" s="9"/>
      <c r="F22" s="9" t="s">
        <v>48</v>
      </c>
      <c r="G22" s="9" t="s">
        <v>48</v>
      </c>
      <c r="H22" s="9"/>
      <c r="I22" s="9" t="s">
        <v>48</v>
      </c>
      <c r="J22" s="9" t="s">
        <v>299</v>
      </c>
      <c r="K22" s="9" t="s">
        <v>48</v>
      </c>
      <c r="L22" s="9"/>
      <c r="M22" s="9"/>
      <c r="N22" s="253" t="s">
        <v>48</v>
      </c>
      <c r="O22" s="9" t="s">
        <v>299</v>
      </c>
      <c r="P22" s="9" t="s">
        <v>299</v>
      </c>
      <c r="Q22" s="9" t="s">
        <v>299</v>
      </c>
      <c r="R22" s="9" t="s">
        <v>48</v>
      </c>
      <c r="S22" s="9" t="s">
        <v>48</v>
      </c>
      <c r="T22" s="9" t="s">
        <v>299</v>
      </c>
      <c r="U22" s="9" t="s">
        <v>48</v>
      </c>
      <c r="V22" s="9" t="s">
        <v>299</v>
      </c>
      <c r="W22" s="45"/>
      <c r="X22" s="45"/>
      <c r="Y22" s="45"/>
      <c r="Z22" s="45"/>
      <c r="AA22" s="9"/>
      <c r="AB22" s="105">
        <f t="shared" si="1"/>
        <v>9</v>
      </c>
      <c r="AC22" s="101">
        <f t="shared" si="2"/>
        <v>0</v>
      </c>
      <c r="AD22" s="101">
        <f t="shared" si="3"/>
        <v>0</v>
      </c>
      <c r="AE22" s="101">
        <f t="shared" si="4"/>
        <v>-7</v>
      </c>
      <c r="AF22" s="101">
        <f t="shared" si="5"/>
        <v>0</v>
      </c>
      <c r="AG22" s="102">
        <f t="shared" si="6"/>
        <v>0</v>
      </c>
      <c r="AK22" s="195">
        <f t="shared" si="7"/>
        <v>9</v>
      </c>
      <c r="AN22" s="6">
        <f t="shared" si="8"/>
        <v>-1</v>
      </c>
      <c r="AO22" s="6">
        <f t="shared" si="9"/>
        <v>0</v>
      </c>
      <c r="AP22" s="6">
        <f t="shared" si="10"/>
        <v>0</v>
      </c>
      <c r="AQ22" s="6">
        <f t="shared" si="11"/>
        <v>-1</v>
      </c>
      <c r="AR22" s="6">
        <f t="shared" si="12"/>
        <v>-1</v>
      </c>
      <c r="AS22" s="6">
        <f t="shared" si="13"/>
        <v>0</v>
      </c>
      <c r="AT22" s="6">
        <f t="shared" si="14"/>
        <v>-1</v>
      </c>
      <c r="AU22" s="6">
        <f t="shared" si="15"/>
        <v>0</v>
      </c>
      <c r="AV22" s="6">
        <f t="shared" si="16"/>
        <v>0</v>
      </c>
      <c r="AW22" s="6">
        <f t="shared" si="17"/>
        <v>0</v>
      </c>
      <c r="AX22" s="6">
        <f t="shared" si="18"/>
        <v>0</v>
      </c>
      <c r="AY22" s="6">
        <f t="shared" si="19"/>
        <v>0</v>
      </c>
      <c r="AZ22" s="6">
        <f t="shared" si="20"/>
        <v>-1</v>
      </c>
      <c r="BA22" s="6">
        <f t="shared" si="21"/>
        <v>0</v>
      </c>
      <c r="BB22" s="6">
        <f t="shared" si="22"/>
        <v>-1</v>
      </c>
      <c r="BC22" s="6">
        <f t="shared" si="23"/>
        <v>0</v>
      </c>
      <c r="BD22" s="6">
        <f t="shared" si="24"/>
        <v>0</v>
      </c>
      <c r="BE22" s="6">
        <f t="shared" si="25"/>
        <v>0</v>
      </c>
      <c r="BF22" s="6">
        <f t="shared" si="26"/>
        <v>-1</v>
      </c>
      <c r="BG22" s="6">
        <f t="shared" si="27"/>
        <v>0</v>
      </c>
      <c r="BH22" s="6">
        <f t="shared" si="28"/>
        <v>0</v>
      </c>
      <c r="BI22" s="6">
        <f t="shared" si="29"/>
        <v>0</v>
      </c>
      <c r="BJ22" s="6">
        <f t="shared" si="30"/>
        <v>0</v>
      </c>
      <c r="BK22" s="6">
        <f t="shared" si="31"/>
        <v>0</v>
      </c>
      <c r="BL22" s="6">
        <f t="shared" si="32"/>
        <v>0</v>
      </c>
      <c r="BM22" s="3">
        <f t="shared" si="33"/>
        <v>-7</v>
      </c>
      <c r="BN22" s="3"/>
      <c r="BO22" s="3"/>
    </row>
    <row r="23" spans="1:67" x14ac:dyDescent="0.25">
      <c r="A23" s="3">
        <v>17</v>
      </c>
      <c r="B23" s="235" t="s">
        <v>66</v>
      </c>
      <c r="C23" s="272" t="s">
        <v>48</v>
      </c>
      <c r="D23" s="273"/>
      <c r="E23" s="9" t="s">
        <v>299</v>
      </c>
      <c r="F23" s="9" t="s">
        <v>48</v>
      </c>
      <c r="G23" s="9" t="s">
        <v>48</v>
      </c>
      <c r="H23" s="9" t="s">
        <v>299</v>
      </c>
      <c r="I23" s="9" t="s">
        <v>48</v>
      </c>
      <c r="J23" s="9" t="s">
        <v>299</v>
      </c>
      <c r="K23" s="9" t="s">
        <v>48</v>
      </c>
      <c r="L23" s="9" t="s">
        <v>48</v>
      </c>
      <c r="M23" s="9"/>
      <c r="N23" s="9"/>
      <c r="O23" s="9" t="s">
        <v>299</v>
      </c>
      <c r="P23" s="9" t="s">
        <v>48</v>
      </c>
      <c r="Q23" s="9" t="s">
        <v>299</v>
      </c>
      <c r="R23" s="9" t="s">
        <v>48</v>
      </c>
      <c r="S23" s="9" t="s">
        <v>48</v>
      </c>
      <c r="T23" s="9" t="s">
        <v>299</v>
      </c>
      <c r="U23" s="9"/>
      <c r="V23" s="9"/>
      <c r="W23" s="45"/>
      <c r="X23" s="45"/>
      <c r="Y23" s="45"/>
      <c r="Z23" s="45"/>
      <c r="AA23" s="9"/>
      <c r="AB23" s="105">
        <f t="shared" si="1"/>
        <v>9</v>
      </c>
      <c r="AC23" s="101">
        <f t="shared" si="2"/>
        <v>0</v>
      </c>
      <c r="AD23" s="101">
        <f t="shared" si="3"/>
        <v>0</v>
      </c>
      <c r="AE23" s="101">
        <f t="shared" si="4"/>
        <v>-8</v>
      </c>
      <c r="AF23" s="101">
        <f t="shared" si="5"/>
        <v>0</v>
      </c>
      <c r="AG23" s="102">
        <f t="shared" si="6"/>
        <v>0</v>
      </c>
      <c r="AH23" s="6"/>
      <c r="AI23" s="6"/>
      <c r="AK23" s="195">
        <f t="shared" si="7"/>
        <v>9</v>
      </c>
      <c r="AN23" s="6">
        <f t="shared" si="8"/>
        <v>-1</v>
      </c>
      <c r="AO23" s="6">
        <f t="shared" si="9"/>
        <v>0</v>
      </c>
      <c r="AP23" s="6">
        <f t="shared" si="10"/>
        <v>0</v>
      </c>
      <c r="AQ23" s="6">
        <f t="shared" si="11"/>
        <v>-1</v>
      </c>
      <c r="AR23" s="6">
        <f t="shared" si="12"/>
        <v>-1</v>
      </c>
      <c r="AS23" s="6">
        <f t="shared" si="13"/>
        <v>0</v>
      </c>
      <c r="AT23" s="6">
        <f t="shared" si="14"/>
        <v>-1</v>
      </c>
      <c r="AU23" s="6">
        <f t="shared" si="15"/>
        <v>0</v>
      </c>
      <c r="AV23" s="6">
        <f t="shared" si="16"/>
        <v>0</v>
      </c>
      <c r="AW23" s="6">
        <f t="shared" si="17"/>
        <v>-1</v>
      </c>
      <c r="AX23" s="6">
        <f t="shared" si="18"/>
        <v>0</v>
      </c>
      <c r="AY23" s="6">
        <f t="shared" si="19"/>
        <v>0</v>
      </c>
      <c r="AZ23" s="6">
        <f t="shared" si="20"/>
        <v>-1</v>
      </c>
      <c r="BA23" s="6">
        <f t="shared" si="21"/>
        <v>0</v>
      </c>
      <c r="BB23" s="6">
        <f t="shared" si="22"/>
        <v>0</v>
      </c>
      <c r="BC23" s="6">
        <f t="shared" si="23"/>
        <v>-1</v>
      </c>
      <c r="BD23" s="6">
        <f t="shared" si="24"/>
        <v>0</v>
      </c>
      <c r="BE23" s="6">
        <f t="shared" si="25"/>
        <v>0</v>
      </c>
      <c r="BF23" s="6">
        <f t="shared" si="26"/>
        <v>-1</v>
      </c>
      <c r="BG23" s="6">
        <f t="shared" si="27"/>
        <v>0</v>
      </c>
      <c r="BH23" s="6">
        <f t="shared" si="28"/>
        <v>0</v>
      </c>
      <c r="BI23" s="6">
        <f t="shared" si="29"/>
        <v>0</v>
      </c>
      <c r="BJ23" s="6">
        <f t="shared" si="30"/>
        <v>0</v>
      </c>
      <c r="BK23" s="6">
        <f t="shared" si="31"/>
        <v>0</v>
      </c>
      <c r="BL23" s="6">
        <f t="shared" si="32"/>
        <v>0</v>
      </c>
      <c r="BM23" s="3">
        <f t="shared" si="33"/>
        <v>-8</v>
      </c>
      <c r="BN23" s="3"/>
      <c r="BO23" s="3"/>
    </row>
    <row r="24" spans="1:67" x14ac:dyDescent="0.25">
      <c r="A24" s="3">
        <v>18</v>
      </c>
      <c r="B24" s="235" t="s">
        <v>67</v>
      </c>
      <c r="C24" s="272"/>
      <c r="D24" s="273"/>
      <c r="E24" s="9"/>
      <c r="F24" s="9" t="s">
        <v>48</v>
      </c>
      <c r="G24" s="9" t="s">
        <v>299</v>
      </c>
      <c r="H24" s="9" t="s">
        <v>48</v>
      </c>
      <c r="I24" s="9" t="s">
        <v>52</v>
      </c>
      <c r="J24" s="9" t="s">
        <v>299</v>
      </c>
      <c r="K24" s="9" t="s">
        <v>48</v>
      </c>
      <c r="L24" s="9"/>
      <c r="M24" s="9" t="s">
        <v>48</v>
      </c>
      <c r="N24" s="9" t="s">
        <v>48</v>
      </c>
      <c r="O24" s="9"/>
      <c r="P24" s="9"/>
      <c r="Q24" s="9" t="s">
        <v>299</v>
      </c>
      <c r="R24" s="9" t="s">
        <v>48</v>
      </c>
      <c r="S24" s="9" t="s">
        <v>48</v>
      </c>
      <c r="T24" s="9"/>
      <c r="U24" s="9" t="s">
        <v>299</v>
      </c>
      <c r="V24" s="9" t="s">
        <v>299</v>
      </c>
      <c r="W24" s="45"/>
      <c r="X24" s="45"/>
      <c r="Y24" s="45"/>
      <c r="Z24" s="45"/>
      <c r="AA24" s="9"/>
      <c r="AB24" s="105">
        <f t="shared" si="1"/>
        <v>8</v>
      </c>
      <c r="AC24" s="101">
        <f t="shared" si="2"/>
        <v>0</v>
      </c>
      <c r="AD24" s="101">
        <f t="shared" si="3"/>
        <v>0</v>
      </c>
      <c r="AE24" s="101">
        <f t="shared" si="4"/>
        <v>-5</v>
      </c>
      <c r="AF24" s="101">
        <f t="shared" si="5"/>
        <v>1</v>
      </c>
      <c r="AG24" s="102">
        <f t="shared" si="6"/>
        <v>0</v>
      </c>
      <c r="AK24" s="195">
        <f t="shared" si="7"/>
        <v>7</v>
      </c>
      <c r="AN24" s="6">
        <f t="shared" si="8"/>
        <v>0</v>
      </c>
      <c r="AO24" s="6">
        <f t="shared" si="9"/>
        <v>0</v>
      </c>
      <c r="AP24" s="6">
        <f t="shared" si="10"/>
        <v>0</v>
      </c>
      <c r="AQ24" s="6">
        <f t="shared" si="11"/>
        <v>-1</v>
      </c>
      <c r="AR24" s="6">
        <f t="shared" si="12"/>
        <v>0</v>
      </c>
      <c r="AS24" s="6">
        <f t="shared" si="13"/>
        <v>-1</v>
      </c>
      <c r="AT24" s="6">
        <f t="shared" si="14"/>
        <v>0</v>
      </c>
      <c r="AU24" s="6">
        <f t="shared" si="15"/>
        <v>0</v>
      </c>
      <c r="AV24" s="6">
        <f t="shared" si="16"/>
        <v>0</v>
      </c>
      <c r="AW24" s="6">
        <f t="shared" si="17"/>
        <v>0</v>
      </c>
      <c r="AX24" s="6">
        <f t="shared" si="18"/>
        <v>-1</v>
      </c>
      <c r="AY24" s="6">
        <f t="shared" si="19"/>
        <v>0</v>
      </c>
      <c r="AZ24" s="6">
        <f t="shared" si="20"/>
        <v>-1</v>
      </c>
      <c r="BA24" s="6">
        <f t="shared" si="21"/>
        <v>0</v>
      </c>
      <c r="BB24" s="6">
        <f t="shared" si="22"/>
        <v>0</v>
      </c>
      <c r="BC24" s="6">
        <f t="shared" si="23"/>
        <v>0</v>
      </c>
      <c r="BD24" s="6">
        <f t="shared" si="24"/>
        <v>0</v>
      </c>
      <c r="BE24" s="6">
        <f t="shared" si="25"/>
        <v>0</v>
      </c>
      <c r="BF24" s="6">
        <f t="shared" si="26"/>
        <v>-1</v>
      </c>
      <c r="BG24" s="6">
        <f t="shared" si="27"/>
        <v>0</v>
      </c>
      <c r="BH24" s="6">
        <f t="shared" si="28"/>
        <v>0</v>
      </c>
      <c r="BI24" s="6">
        <f t="shared" si="29"/>
        <v>0</v>
      </c>
      <c r="BJ24" s="6">
        <f t="shared" si="30"/>
        <v>0</v>
      </c>
      <c r="BK24" s="6">
        <f t="shared" si="31"/>
        <v>0</v>
      </c>
      <c r="BL24" s="6">
        <f t="shared" si="32"/>
        <v>0</v>
      </c>
      <c r="BM24" s="3">
        <f t="shared" si="33"/>
        <v>-5</v>
      </c>
      <c r="BN24" s="3"/>
      <c r="BO24" s="3"/>
    </row>
    <row r="25" spans="1:67" x14ac:dyDescent="0.25">
      <c r="A25" s="3">
        <v>19</v>
      </c>
      <c r="B25" s="235" t="s">
        <v>68</v>
      </c>
      <c r="C25" s="272"/>
      <c r="D25" s="273"/>
      <c r="E25" s="9"/>
      <c r="F25" s="9"/>
      <c r="G25" s="9" t="s">
        <v>299</v>
      </c>
      <c r="H25" s="9"/>
      <c r="I25" s="9"/>
      <c r="J25" s="9" t="s">
        <v>52</v>
      </c>
      <c r="K25" s="9"/>
      <c r="L25" s="9"/>
      <c r="M25" s="9" t="s">
        <v>299</v>
      </c>
      <c r="N25" s="9" t="s">
        <v>48</v>
      </c>
      <c r="O25" s="9" t="s">
        <v>48</v>
      </c>
      <c r="P25" s="9" t="s">
        <v>48</v>
      </c>
      <c r="Q25" s="9"/>
      <c r="R25" s="9"/>
      <c r="S25" s="9"/>
      <c r="T25" s="9" t="s">
        <v>52</v>
      </c>
      <c r="U25" s="9" t="s">
        <v>48</v>
      </c>
      <c r="V25" s="9" t="s">
        <v>299</v>
      </c>
      <c r="W25" s="45"/>
      <c r="X25" s="45"/>
      <c r="Y25" s="45"/>
      <c r="Z25" s="45"/>
      <c r="AA25" s="9"/>
      <c r="AB25" s="105">
        <f t="shared" si="1"/>
        <v>6</v>
      </c>
      <c r="AC25" s="101">
        <f t="shared" si="2"/>
        <v>0</v>
      </c>
      <c r="AD25" s="101">
        <f t="shared" si="3"/>
        <v>0</v>
      </c>
      <c r="AE25" s="101">
        <f t="shared" si="4"/>
        <v>-3</v>
      </c>
      <c r="AF25" s="101">
        <f t="shared" si="5"/>
        <v>2</v>
      </c>
      <c r="AG25" s="102">
        <f t="shared" si="6"/>
        <v>0</v>
      </c>
      <c r="AH25" s="6" t="s">
        <v>69</v>
      </c>
      <c r="AI25" s="6"/>
      <c r="AK25" s="195">
        <f t="shared" si="7"/>
        <v>4</v>
      </c>
      <c r="AN25" s="6">
        <f t="shared" si="8"/>
        <v>0</v>
      </c>
      <c r="AO25" s="6">
        <f t="shared" si="9"/>
        <v>0</v>
      </c>
      <c r="AP25" s="6">
        <f t="shared" si="10"/>
        <v>0</v>
      </c>
      <c r="AQ25" s="6">
        <f t="shared" si="11"/>
        <v>0</v>
      </c>
      <c r="AR25" s="6">
        <f t="shared" si="12"/>
        <v>0</v>
      </c>
      <c r="AS25" s="6">
        <f t="shared" si="13"/>
        <v>0</v>
      </c>
      <c r="AT25" s="6">
        <f t="shared" si="14"/>
        <v>0</v>
      </c>
      <c r="AU25" s="6">
        <f t="shared" si="15"/>
        <v>0</v>
      </c>
      <c r="AV25" s="6">
        <f t="shared" si="16"/>
        <v>0</v>
      </c>
      <c r="AW25" s="6">
        <f t="shared" si="17"/>
        <v>0</v>
      </c>
      <c r="AX25" s="6">
        <f t="shared" si="18"/>
        <v>0</v>
      </c>
      <c r="AY25" s="6">
        <f t="shared" si="19"/>
        <v>0</v>
      </c>
      <c r="AZ25" s="6">
        <f t="shared" si="20"/>
        <v>0</v>
      </c>
      <c r="BA25" s="6">
        <f t="shared" si="21"/>
        <v>-1</v>
      </c>
      <c r="BB25" s="6">
        <f t="shared" si="22"/>
        <v>-1</v>
      </c>
      <c r="BC25" s="6">
        <f t="shared" si="23"/>
        <v>-1</v>
      </c>
      <c r="BD25" s="6">
        <f t="shared" si="24"/>
        <v>0</v>
      </c>
      <c r="BE25" s="6">
        <f t="shared" si="25"/>
        <v>0</v>
      </c>
      <c r="BF25" s="6">
        <f t="shared" si="26"/>
        <v>0</v>
      </c>
      <c r="BG25" s="6">
        <f t="shared" si="27"/>
        <v>0</v>
      </c>
      <c r="BH25" s="6">
        <f t="shared" si="28"/>
        <v>0</v>
      </c>
      <c r="BI25" s="6">
        <f t="shared" si="29"/>
        <v>0</v>
      </c>
      <c r="BJ25" s="6">
        <f t="shared" si="30"/>
        <v>0</v>
      </c>
      <c r="BK25" s="6">
        <f t="shared" si="31"/>
        <v>0</v>
      </c>
      <c r="BL25" s="6">
        <f t="shared" si="32"/>
        <v>0</v>
      </c>
      <c r="BM25" s="3">
        <f t="shared" si="33"/>
        <v>-3</v>
      </c>
      <c r="BN25" s="3"/>
      <c r="BO25" s="3"/>
    </row>
    <row r="26" spans="1:67" x14ac:dyDescent="0.25">
      <c r="A26" s="3">
        <v>20</v>
      </c>
      <c r="B26" s="235" t="s">
        <v>70</v>
      </c>
      <c r="C26" s="272"/>
      <c r="D26" s="273" t="s">
        <v>48</v>
      </c>
      <c r="E26" s="9"/>
      <c r="F26" s="9"/>
      <c r="G26" s="9" t="s">
        <v>299</v>
      </c>
      <c r="H26" s="9" t="s">
        <v>299</v>
      </c>
      <c r="I26" s="9" t="s">
        <v>299</v>
      </c>
      <c r="J26" s="9" t="s">
        <v>48</v>
      </c>
      <c r="K26" s="9"/>
      <c r="L26" s="9"/>
      <c r="M26" s="9" t="s">
        <v>299</v>
      </c>
      <c r="N26" s="9"/>
      <c r="O26" s="9" t="s">
        <v>299</v>
      </c>
      <c r="P26" s="9" t="s">
        <v>48</v>
      </c>
      <c r="Q26" s="9" t="s">
        <v>48</v>
      </c>
      <c r="R26" s="9" t="s">
        <v>48</v>
      </c>
      <c r="S26" s="9" t="s">
        <v>48</v>
      </c>
      <c r="T26" s="9" t="s">
        <v>299</v>
      </c>
      <c r="U26" s="9"/>
      <c r="V26" s="9" t="s">
        <v>48</v>
      </c>
      <c r="W26" s="45"/>
      <c r="X26" s="45"/>
      <c r="Y26" s="45"/>
      <c r="Z26" s="45"/>
      <c r="AA26" s="3"/>
      <c r="AB26" s="105">
        <f t="shared" si="1"/>
        <v>7</v>
      </c>
      <c r="AC26" s="101">
        <f t="shared" si="2"/>
        <v>0</v>
      </c>
      <c r="AD26" s="101">
        <f t="shared" si="3"/>
        <v>0</v>
      </c>
      <c r="AE26" s="101">
        <f t="shared" si="4"/>
        <v>-6</v>
      </c>
      <c r="AF26" s="101">
        <f t="shared" si="5"/>
        <v>0</v>
      </c>
      <c r="AG26" s="102">
        <f t="shared" si="6"/>
        <v>0</v>
      </c>
      <c r="AH26" s="6"/>
      <c r="AI26" s="6"/>
      <c r="AK26" s="195">
        <f t="shared" si="7"/>
        <v>7</v>
      </c>
      <c r="AN26" s="6">
        <f t="shared" si="8"/>
        <v>0</v>
      </c>
      <c r="AO26" s="6">
        <f t="shared" si="9"/>
        <v>0</v>
      </c>
      <c r="AP26" s="6">
        <f t="shared" si="10"/>
        <v>0</v>
      </c>
      <c r="AQ26" s="6">
        <f t="shared" si="11"/>
        <v>0</v>
      </c>
      <c r="AR26" s="6">
        <f t="shared" si="12"/>
        <v>0</v>
      </c>
      <c r="AS26" s="6">
        <f t="shared" si="13"/>
        <v>0</v>
      </c>
      <c r="AT26" s="6">
        <f t="shared" si="14"/>
        <v>0</v>
      </c>
      <c r="AU26" s="6">
        <f t="shared" si="15"/>
        <v>-1</v>
      </c>
      <c r="AV26" s="6">
        <f t="shared" si="16"/>
        <v>0</v>
      </c>
      <c r="AW26" s="6">
        <f t="shared" si="17"/>
        <v>0</v>
      </c>
      <c r="AX26" s="6">
        <f t="shared" si="18"/>
        <v>0</v>
      </c>
      <c r="AY26" s="6">
        <f t="shared" si="19"/>
        <v>0</v>
      </c>
      <c r="AZ26" s="6">
        <f t="shared" si="20"/>
        <v>-1</v>
      </c>
      <c r="BA26" s="6">
        <f t="shared" si="21"/>
        <v>0</v>
      </c>
      <c r="BB26" s="6">
        <f t="shared" si="22"/>
        <v>0</v>
      </c>
      <c r="BC26" s="6">
        <f t="shared" si="23"/>
        <v>-1</v>
      </c>
      <c r="BD26" s="6">
        <f t="shared" si="24"/>
        <v>0</v>
      </c>
      <c r="BE26" s="6">
        <f t="shared" si="25"/>
        <v>-1</v>
      </c>
      <c r="BF26" s="6">
        <f t="shared" si="26"/>
        <v>-1</v>
      </c>
      <c r="BG26" s="6">
        <f t="shared" si="27"/>
        <v>-1</v>
      </c>
      <c r="BH26" s="6">
        <f t="shared" si="28"/>
        <v>0</v>
      </c>
      <c r="BI26" s="6">
        <f t="shared" si="29"/>
        <v>0</v>
      </c>
      <c r="BJ26" s="6">
        <f t="shared" si="30"/>
        <v>0</v>
      </c>
      <c r="BK26" s="6">
        <f t="shared" si="31"/>
        <v>0</v>
      </c>
      <c r="BL26" s="6">
        <f t="shared" si="32"/>
        <v>0</v>
      </c>
      <c r="BM26" s="3">
        <f t="shared" si="33"/>
        <v>-6</v>
      </c>
      <c r="BN26" s="3"/>
      <c r="BO26" s="3"/>
    </row>
    <row r="27" spans="1:67" x14ac:dyDescent="0.25">
      <c r="A27" s="3">
        <v>21</v>
      </c>
      <c r="B27" s="235" t="s">
        <v>71</v>
      </c>
      <c r="C27" s="279"/>
      <c r="D27" s="280" t="s">
        <v>48</v>
      </c>
      <c r="E27" s="274" t="s">
        <v>299</v>
      </c>
      <c r="F27" s="274" t="s">
        <v>299</v>
      </c>
      <c r="G27" s="9"/>
      <c r="H27" s="9"/>
      <c r="I27" s="9"/>
      <c r="J27" s="9"/>
      <c r="K27" s="9"/>
      <c r="L27" s="9"/>
      <c r="M27" s="9"/>
      <c r="N27" s="9"/>
      <c r="O27" s="9"/>
      <c r="P27" s="9" t="s">
        <v>299</v>
      </c>
      <c r="Q27" s="9" t="s">
        <v>48</v>
      </c>
      <c r="R27" s="9"/>
      <c r="S27" s="9"/>
      <c r="T27" s="9" t="s">
        <v>48</v>
      </c>
      <c r="U27" s="9"/>
      <c r="V27" s="9"/>
      <c r="W27" s="45"/>
      <c r="X27" s="45"/>
      <c r="Y27" s="45"/>
      <c r="Z27" s="45"/>
      <c r="AA27" s="45"/>
      <c r="AB27" s="105">
        <f t="shared" si="1"/>
        <v>3</v>
      </c>
      <c r="AC27" s="101">
        <f t="shared" si="2"/>
        <v>0</v>
      </c>
      <c r="AD27" s="101">
        <f t="shared" si="3"/>
        <v>0</v>
      </c>
      <c r="AE27" s="101">
        <f t="shared" si="4"/>
        <v>-2</v>
      </c>
      <c r="AF27" s="101">
        <f t="shared" si="5"/>
        <v>0</v>
      </c>
      <c r="AG27" s="102">
        <f t="shared" si="6"/>
        <v>0</v>
      </c>
      <c r="AK27" s="195">
        <f t="shared" si="7"/>
        <v>3</v>
      </c>
      <c r="AN27" s="6">
        <f t="shared" si="8"/>
        <v>0</v>
      </c>
      <c r="AO27" s="6">
        <f t="shared" si="9"/>
        <v>0</v>
      </c>
      <c r="AP27" s="6">
        <f t="shared" si="10"/>
        <v>0</v>
      </c>
      <c r="AQ27" s="6">
        <f t="shared" si="11"/>
        <v>0</v>
      </c>
      <c r="AR27" s="6">
        <f t="shared" si="12"/>
        <v>0</v>
      </c>
      <c r="AS27" s="6">
        <f t="shared" si="13"/>
        <v>0</v>
      </c>
      <c r="AT27" s="6">
        <f t="shared" si="14"/>
        <v>0</v>
      </c>
      <c r="AU27" s="6">
        <f t="shared" si="15"/>
        <v>0</v>
      </c>
      <c r="AV27" s="6">
        <f t="shared" si="16"/>
        <v>0</v>
      </c>
      <c r="AW27" s="6">
        <f t="shared" si="17"/>
        <v>0</v>
      </c>
      <c r="AX27" s="6">
        <f t="shared" si="18"/>
        <v>0</v>
      </c>
      <c r="AY27" s="6">
        <f t="shared" si="19"/>
        <v>0</v>
      </c>
      <c r="AZ27" s="6">
        <f t="shared" si="20"/>
        <v>0</v>
      </c>
      <c r="BA27" s="6">
        <f t="shared" si="21"/>
        <v>0</v>
      </c>
      <c r="BB27" s="6">
        <f t="shared" si="22"/>
        <v>0</v>
      </c>
      <c r="BC27" s="6">
        <f t="shared" si="23"/>
        <v>0</v>
      </c>
      <c r="BD27" s="6">
        <f t="shared" si="24"/>
        <v>-1</v>
      </c>
      <c r="BE27" s="6">
        <f t="shared" si="25"/>
        <v>-1</v>
      </c>
      <c r="BF27" s="6">
        <f t="shared" si="26"/>
        <v>0</v>
      </c>
      <c r="BG27" s="6">
        <f t="shared" si="27"/>
        <v>0</v>
      </c>
      <c r="BH27" s="6">
        <f t="shared" si="28"/>
        <v>0</v>
      </c>
      <c r="BI27" s="6">
        <f t="shared" si="29"/>
        <v>0</v>
      </c>
      <c r="BJ27" s="6">
        <f t="shared" si="30"/>
        <v>0</v>
      </c>
      <c r="BK27" s="6">
        <f t="shared" si="31"/>
        <v>0</v>
      </c>
      <c r="BL27" s="6">
        <f t="shared" si="32"/>
        <v>0</v>
      </c>
      <c r="BM27" s="3">
        <f t="shared" si="33"/>
        <v>-2</v>
      </c>
      <c r="BN27" s="3"/>
      <c r="BO27" s="3"/>
    </row>
    <row r="28" spans="1:67" x14ac:dyDescent="0.25">
      <c r="A28" s="3">
        <v>22</v>
      </c>
      <c r="B28" s="8" t="s">
        <v>72</v>
      </c>
      <c r="C28" s="9" t="s">
        <v>299</v>
      </c>
      <c r="D28" s="191"/>
      <c r="E28" s="9"/>
      <c r="F28" s="9" t="s">
        <v>52</v>
      </c>
      <c r="G28" s="9"/>
      <c r="H28" s="9"/>
      <c r="I28" s="9"/>
      <c r="J28" s="9"/>
      <c r="K28" s="9"/>
      <c r="L28" s="9" t="s">
        <v>299</v>
      </c>
      <c r="M28" s="9" t="s">
        <v>48</v>
      </c>
      <c r="N28" s="9" t="s">
        <v>48</v>
      </c>
      <c r="O28" s="9"/>
      <c r="P28" s="9" t="s">
        <v>299</v>
      </c>
      <c r="Q28" s="9"/>
      <c r="R28" s="9"/>
      <c r="S28" s="9" t="s">
        <v>48</v>
      </c>
      <c r="T28" s="9" t="s">
        <v>52</v>
      </c>
      <c r="U28" s="9"/>
      <c r="V28" s="9" t="s">
        <v>299</v>
      </c>
      <c r="W28" s="45"/>
      <c r="X28" s="45"/>
      <c r="Y28" s="45"/>
      <c r="Z28" s="45"/>
      <c r="AA28" s="9"/>
      <c r="AB28" s="105">
        <f t="shared" si="1"/>
        <v>5</v>
      </c>
      <c r="AC28" s="101">
        <f t="shared" si="2"/>
        <v>0</v>
      </c>
      <c r="AD28" s="101">
        <f t="shared" si="3"/>
        <v>0</v>
      </c>
      <c r="AE28" s="101">
        <f t="shared" si="4"/>
        <v>-2</v>
      </c>
      <c r="AF28" s="101">
        <f t="shared" si="5"/>
        <v>2</v>
      </c>
      <c r="AG28" s="102">
        <f t="shared" si="6"/>
        <v>0</v>
      </c>
      <c r="AK28" s="195">
        <f t="shared" si="7"/>
        <v>3</v>
      </c>
      <c r="AN28" s="6">
        <f t="shared" si="8"/>
        <v>0</v>
      </c>
      <c r="AO28" s="6">
        <f t="shared" si="9"/>
        <v>0</v>
      </c>
      <c r="AP28" s="6">
        <f t="shared" si="10"/>
        <v>0</v>
      </c>
      <c r="AQ28" s="6">
        <f t="shared" si="11"/>
        <v>0</v>
      </c>
      <c r="AR28" s="6">
        <f t="shared" si="12"/>
        <v>0</v>
      </c>
      <c r="AS28" s="6">
        <f t="shared" si="13"/>
        <v>0</v>
      </c>
      <c r="AT28" s="6">
        <f t="shared" si="14"/>
        <v>0</v>
      </c>
      <c r="AU28" s="6">
        <f t="shared" si="15"/>
        <v>0</v>
      </c>
      <c r="AV28" s="6">
        <f t="shared" si="16"/>
        <v>0</v>
      </c>
      <c r="AW28" s="6">
        <f t="shared" si="17"/>
        <v>0</v>
      </c>
      <c r="AX28" s="6">
        <f t="shared" si="18"/>
        <v>-1</v>
      </c>
      <c r="AY28" s="6">
        <f t="shared" si="19"/>
        <v>0</v>
      </c>
      <c r="AZ28" s="6">
        <f t="shared" si="20"/>
        <v>-1</v>
      </c>
      <c r="BA28" s="6">
        <f t="shared" si="21"/>
        <v>0</v>
      </c>
      <c r="BB28" s="6">
        <f t="shared" si="22"/>
        <v>0</v>
      </c>
      <c r="BC28" s="6">
        <f t="shared" si="23"/>
        <v>0</v>
      </c>
      <c r="BD28" s="6">
        <f t="shared" si="24"/>
        <v>0</v>
      </c>
      <c r="BE28" s="6">
        <f t="shared" si="25"/>
        <v>0</v>
      </c>
      <c r="BF28" s="6">
        <f t="shared" si="26"/>
        <v>0</v>
      </c>
      <c r="BG28" s="6">
        <f t="shared" si="27"/>
        <v>0</v>
      </c>
      <c r="BH28" s="6">
        <f t="shared" si="28"/>
        <v>0</v>
      </c>
      <c r="BI28" s="6">
        <f t="shared" si="29"/>
        <v>0</v>
      </c>
      <c r="BJ28" s="6">
        <f t="shared" si="30"/>
        <v>0</v>
      </c>
      <c r="BK28" s="6">
        <f t="shared" si="31"/>
        <v>0</v>
      </c>
      <c r="BL28" s="6">
        <f t="shared" si="32"/>
        <v>0</v>
      </c>
      <c r="BM28" s="3">
        <f t="shared" si="33"/>
        <v>-2</v>
      </c>
      <c r="BN28" s="3"/>
      <c r="BO28" s="3"/>
    </row>
    <row r="29" spans="1:67" x14ac:dyDescent="0.25">
      <c r="A29" s="3">
        <v>23</v>
      </c>
      <c r="B29" s="276" t="s">
        <v>73</v>
      </c>
      <c r="C29" s="272" t="s">
        <v>74</v>
      </c>
      <c r="D29" s="275" t="s">
        <v>74</v>
      </c>
      <c r="E29" s="272" t="s">
        <v>74</v>
      </c>
      <c r="F29" s="272" t="s">
        <v>74</v>
      </c>
      <c r="G29" s="237" t="s">
        <v>74</v>
      </c>
      <c r="H29" s="9" t="s">
        <v>74</v>
      </c>
      <c r="I29" s="9"/>
      <c r="J29" s="9" t="s">
        <v>74</v>
      </c>
      <c r="K29" s="9" t="s">
        <v>74</v>
      </c>
      <c r="L29" s="9" t="s">
        <v>74</v>
      </c>
      <c r="M29" s="9" t="s">
        <v>74</v>
      </c>
      <c r="N29" s="9" t="s">
        <v>74</v>
      </c>
      <c r="O29" s="9" t="s">
        <v>74</v>
      </c>
      <c r="P29" s="9" t="s">
        <v>74</v>
      </c>
      <c r="Q29" s="9" t="s">
        <v>74</v>
      </c>
      <c r="R29" s="9" t="s">
        <v>74</v>
      </c>
      <c r="S29" s="9" t="s">
        <v>74</v>
      </c>
      <c r="T29" s="9" t="s">
        <v>74</v>
      </c>
      <c r="U29" s="9" t="s">
        <v>74</v>
      </c>
      <c r="V29" s="251" t="s">
        <v>74</v>
      </c>
      <c r="W29" s="45"/>
      <c r="X29" s="45"/>
      <c r="Y29" s="45"/>
      <c r="Z29" s="45"/>
      <c r="AA29" s="9"/>
      <c r="AB29" s="105">
        <f t="shared" si="1"/>
        <v>19</v>
      </c>
      <c r="AC29" s="101">
        <f t="shared" si="2"/>
        <v>0</v>
      </c>
      <c r="AD29" s="101">
        <f t="shared" si="3"/>
        <v>19</v>
      </c>
      <c r="AE29" s="101">
        <f t="shared" si="4"/>
        <v>0</v>
      </c>
      <c r="AF29" s="101">
        <f t="shared" si="5"/>
        <v>0</v>
      </c>
      <c r="AG29" s="102" t="e">
        <f t="shared" si="6"/>
        <v>#DIV/0!</v>
      </c>
      <c r="AH29" s="6"/>
      <c r="AI29" s="6"/>
      <c r="AK29" s="195">
        <f t="shared" si="7"/>
        <v>19</v>
      </c>
      <c r="AN29" s="6">
        <f t="shared" si="8"/>
        <v>0</v>
      </c>
      <c r="AO29" s="6">
        <f t="shared" si="9"/>
        <v>0</v>
      </c>
      <c r="AP29" s="6">
        <f t="shared" si="10"/>
        <v>0</v>
      </c>
      <c r="AQ29" s="6">
        <f t="shared" si="11"/>
        <v>0</v>
      </c>
      <c r="AR29" s="6">
        <f t="shared" si="12"/>
        <v>0</v>
      </c>
      <c r="AS29" s="6">
        <f t="shared" si="13"/>
        <v>0</v>
      </c>
      <c r="AT29" s="6">
        <f t="shared" si="14"/>
        <v>0</v>
      </c>
      <c r="AU29" s="6">
        <f t="shared" si="15"/>
        <v>0</v>
      </c>
      <c r="AV29" s="6">
        <f t="shared" si="16"/>
        <v>0</v>
      </c>
      <c r="AW29" s="6">
        <f t="shared" si="17"/>
        <v>0</v>
      </c>
      <c r="AX29" s="6">
        <f t="shared" si="18"/>
        <v>0</v>
      </c>
      <c r="AY29" s="6">
        <f t="shared" si="19"/>
        <v>0</v>
      </c>
      <c r="AZ29" s="6">
        <f t="shared" si="20"/>
        <v>0</v>
      </c>
      <c r="BA29" s="6">
        <f t="shared" si="21"/>
        <v>0</v>
      </c>
      <c r="BB29" s="6">
        <f t="shared" si="22"/>
        <v>0</v>
      </c>
      <c r="BC29" s="6">
        <f t="shared" si="23"/>
        <v>0</v>
      </c>
      <c r="BD29" s="6">
        <f t="shared" si="24"/>
        <v>0</v>
      </c>
      <c r="BE29" s="6">
        <f t="shared" si="25"/>
        <v>0</v>
      </c>
      <c r="BF29" s="6">
        <f t="shared" si="26"/>
        <v>0</v>
      </c>
      <c r="BG29" s="6">
        <f t="shared" si="27"/>
        <v>0</v>
      </c>
      <c r="BH29" s="6">
        <f t="shared" si="28"/>
        <v>0</v>
      </c>
      <c r="BI29" s="6">
        <f t="shared" si="29"/>
        <v>0</v>
      </c>
      <c r="BJ29" s="6">
        <f t="shared" si="30"/>
        <v>0</v>
      </c>
      <c r="BK29" s="6">
        <f t="shared" si="31"/>
        <v>0</v>
      </c>
      <c r="BL29" s="6">
        <f t="shared" si="32"/>
        <v>0</v>
      </c>
      <c r="BM29" s="3">
        <f t="shared" si="33"/>
        <v>0</v>
      </c>
      <c r="BN29" s="3"/>
      <c r="BO29" s="3"/>
    </row>
    <row r="30" spans="1:67" x14ac:dyDescent="0.25">
      <c r="A30" s="3">
        <v>24</v>
      </c>
      <c r="B30" s="277" t="s">
        <v>75</v>
      </c>
      <c r="C30" s="272"/>
      <c r="D30" s="275"/>
      <c r="E30" s="236"/>
      <c r="F30" s="272"/>
      <c r="G30" s="237"/>
      <c r="H30" s="9"/>
      <c r="I30" s="9" t="s">
        <v>74</v>
      </c>
      <c r="J30" s="9"/>
      <c r="K30" s="9"/>
      <c r="L30" s="9"/>
      <c r="M30" s="9" t="s">
        <v>52</v>
      </c>
      <c r="N30" s="9" t="s">
        <v>52</v>
      </c>
      <c r="O30" s="9"/>
      <c r="P30" s="9"/>
      <c r="Q30" s="9" t="s">
        <v>52</v>
      </c>
      <c r="R30" s="9"/>
      <c r="S30" s="9"/>
      <c r="T30" s="9" t="s">
        <v>52</v>
      </c>
      <c r="U30" s="9"/>
      <c r="V30" s="9" t="s">
        <v>52</v>
      </c>
      <c r="W30" s="45"/>
      <c r="X30" s="45"/>
      <c r="Y30" s="45"/>
      <c r="Z30" s="45"/>
      <c r="AA30" s="9"/>
      <c r="AB30" s="105">
        <f t="shared" si="1"/>
        <v>6</v>
      </c>
      <c r="AC30" s="101">
        <f t="shared" si="2"/>
        <v>0</v>
      </c>
      <c r="AD30" s="101">
        <f t="shared" si="3"/>
        <v>1</v>
      </c>
      <c r="AE30" s="101">
        <f t="shared" si="4"/>
        <v>0</v>
      </c>
      <c r="AF30" s="101">
        <f t="shared" si="5"/>
        <v>5</v>
      </c>
      <c r="AG30" s="102" t="e">
        <f t="shared" si="6"/>
        <v>#DIV/0!</v>
      </c>
      <c r="AK30" s="195">
        <f t="shared" si="7"/>
        <v>1</v>
      </c>
      <c r="AN30" s="6">
        <f t="shared" si="8"/>
        <v>0</v>
      </c>
      <c r="AO30" s="6">
        <f t="shared" si="9"/>
        <v>0</v>
      </c>
      <c r="AP30" s="6">
        <f t="shared" si="10"/>
        <v>0</v>
      </c>
      <c r="AQ30" s="6">
        <f t="shared" si="11"/>
        <v>0</v>
      </c>
      <c r="AR30" s="6">
        <f t="shared" si="12"/>
        <v>0</v>
      </c>
      <c r="AS30" s="6">
        <f t="shared" si="13"/>
        <v>0</v>
      </c>
      <c r="AT30" s="6">
        <f t="shared" si="14"/>
        <v>0</v>
      </c>
      <c r="AU30" s="6">
        <f t="shared" si="15"/>
        <v>0</v>
      </c>
      <c r="AV30" s="6">
        <f t="shared" si="16"/>
        <v>0</v>
      </c>
      <c r="AW30" s="6">
        <f t="shared" si="17"/>
        <v>0</v>
      </c>
      <c r="AX30" s="6">
        <f t="shared" si="18"/>
        <v>0</v>
      </c>
      <c r="AY30" s="6">
        <f t="shared" si="19"/>
        <v>0</v>
      </c>
      <c r="AZ30" s="6">
        <f t="shared" si="20"/>
        <v>0</v>
      </c>
      <c r="BA30" s="6">
        <f t="shared" si="21"/>
        <v>0</v>
      </c>
      <c r="BB30" s="6">
        <f t="shared" si="22"/>
        <v>0</v>
      </c>
      <c r="BC30" s="6">
        <f t="shared" si="23"/>
        <v>0</v>
      </c>
      <c r="BD30" s="6">
        <f t="shared" si="24"/>
        <v>0</v>
      </c>
      <c r="BE30" s="6">
        <f t="shared" si="25"/>
        <v>0</v>
      </c>
      <c r="BF30" s="6">
        <f t="shared" si="26"/>
        <v>0</v>
      </c>
      <c r="BG30" s="6">
        <f t="shared" si="27"/>
        <v>0</v>
      </c>
      <c r="BH30" s="6">
        <f t="shared" si="28"/>
        <v>0</v>
      </c>
      <c r="BI30" s="6">
        <f t="shared" si="29"/>
        <v>0</v>
      </c>
      <c r="BJ30" s="6">
        <f t="shared" si="30"/>
        <v>0</v>
      </c>
      <c r="BK30" s="6">
        <f t="shared" si="31"/>
        <v>0</v>
      </c>
      <c r="BL30" s="6">
        <f t="shared" si="32"/>
        <v>0</v>
      </c>
      <c r="BM30" s="3">
        <f t="shared" si="33"/>
        <v>0</v>
      </c>
      <c r="BN30" s="3"/>
      <c r="BO30" s="3"/>
    </row>
    <row r="31" spans="1:67" x14ac:dyDescent="0.25">
      <c r="A31" s="3">
        <v>25</v>
      </c>
      <c r="B31" s="277" t="s">
        <v>76</v>
      </c>
      <c r="C31" s="272"/>
      <c r="D31" s="275"/>
      <c r="E31" s="236"/>
      <c r="F31" s="272"/>
      <c r="G31" s="237"/>
      <c r="H31" s="9" t="s">
        <v>299</v>
      </c>
      <c r="I31" s="9"/>
      <c r="J31" s="9"/>
      <c r="K31" s="9" t="s">
        <v>48</v>
      </c>
      <c r="L31" s="9"/>
      <c r="M31" s="9"/>
      <c r="N31" s="9"/>
      <c r="O31" s="9"/>
      <c r="P31" s="9"/>
      <c r="Q31" s="9"/>
      <c r="R31" s="9" t="s">
        <v>299</v>
      </c>
      <c r="S31" s="9"/>
      <c r="T31" s="9"/>
      <c r="U31" s="9"/>
      <c r="V31" s="9"/>
      <c r="W31" s="45"/>
      <c r="X31" s="45"/>
      <c r="Y31" s="45"/>
      <c r="Z31" s="45"/>
      <c r="AA31" s="9"/>
      <c r="AB31" s="105">
        <f t="shared" si="1"/>
        <v>1</v>
      </c>
      <c r="AC31" s="101">
        <f t="shared" si="2"/>
        <v>0</v>
      </c>
      <c r="AD31" s="101">
        <f t="shared" si="3"/>
        <v>0</v>
      </c>
      <c r="AE31" s="101">
        <f t="shared" si="4"/>
        <v>0</v>
      </c>
      <c r="AF31" s="101">
        <f t="shared" si="5"/>
        <v>0</v>
      </c>
      <c r="AG31" s="102">
        <f t="shared" si="6"/>
        <v>0</v>
      </c>
      <c r="AK31" s="195">
        <f t="shared" si="7"/>
        <v>1</v>
      </c>
      <c r="AN31" s="6">
        <f t="shared" si="8"/>
        <v>0</v>
      </c>
      <c r="AO31" s="6">
        <f t="shared" si="9"/>
        <v>0</v>
      </c>
      <c r="AP31" s="6">
        <f t="shared" si="10"/>
        <v>0</v>
      </c>
      <c r="AQ31" s="6">
        <f t="shared" si="11"/>
        <v>0</v>
      </c>
      <c r="AR31" s="6">
        <f t="shared" si="12"/>
        <v>0</v>
      </c>
      <c r="AS31" s="6">
        <f t="shared" si="13"/>
        <v>0</v>
      </c>
      <c r="AT31" s="6">
        <f t="shared" si="14"/>
        <v>0</v>
      </c>
      <c r="AU31" s="6">
        <f t="shared" si="15"/>
        <v>0</v>
      </c>
      <c r="AV31" s="6">
        <f t="shared" si="16"/>
        <v>0</v>
      </c>
      <c r="AW31" s="6">
        <f t="shared" si="17"/>
        <v>0</v>
      </c>
      <c r="AX31" s="6">
        <f t="shared" si="18"/>
        <v>0</v>
      </c>
      <c r="AY31" s="6">
        <f t="shared" si="19"/>
        <v>0</v>
      </c>
      <c r="AZ31" s="6">
        <f t="shared" si="20"/>
        <v>0</v>
      </c>
      <c r="BA31" s="6">
        <f t="shared" si="21"/>
        <v>0</v>
      </c>
      <c r="BB31" s="6">
        <f t="shared" si="22"/>
        <v>0</v>
      </c>
      <c r="BC31" s="6">
        <f t="shared" si="23"/>
        <v>0</v>
      </c>
      <c r="BD31" s="6">
        <f t="shared" si="24"/>
        <v>0</v>
      </c>
      <c r="BE31" s="6">
        <f t="shared" si="25"/>
        <v>0</v>
      </c>
      <c r="BF31" s="6">
        <f t="shared" si="26"/>
        <v>0</v>
      </c>
      <c r="BG31" s="6">
        <f t="shared" si="27"/>
        <v>0</v>
      </c>
      <c r="BH31" s="6">
        <f t="shared" si="28"/>
        <v>0</v>
      </c>
      <c r="BI31" s="6">
        <f t="shared" si="29"/>
        <v>0</v>
      </c>
      <c r="BJ31" s="6">
        <f t="shared" si="30"/>
        <v>0</v>
      </c>
      <c r="BK31" s="6">
        <f t="shared" si="31"/>
        <v>0</v>
      </c>
      <c r="BL31" s="6">
        <f t="shared" si="32"/>
        <v>0</v>
      </c>
      <c r="BM31" s="3">
        <f t="shared" si="33"/>
        <v>0</v>
      </c>
      <c r="BN31" s="3"/>
      <c r="BO31" s="3"/>
    </row>
    <row r="32" spans="1:67" x14ac:dyDescent="0.25">
      <c r="A32" s="3">
        <v>26</v>
      </c>
      <c r="B32" s="278" t="s">
        <v>77</v>
      </c>
      <c r="C32" s="272"/>
      <c r="D32" s="275"/>
      <c r="E32" s="272"/>
      <c r="F32" s="272"/>
      <c r="G32" s="237"/>
      <c r="H32" s="9"/>
      <c r="I32" s="9" t="s">
        <v>52</v>
      </c>
      <c r="J32" s="9"/>
      <c r="K32" s="9"/>
      <c r="L32" s="9"/>
      <c r="M32" s="9"/>
      <c r="N32" s="9"/>
      <c r="O32" s="9"/>
      <c r="P32" s="9"/>
      <c r="Q32" s="9"/>
      <c r="R32" s="9"/>
      <c r="S32" s="9" t="s">
        <v>48</v>
      </c>
      <c r="T32" s="9"/>
      <c r="U32" s="9"/>
      <c r="V32" s="9"/>
      <c r="W32" s="45"/>
      <c r="X32" s="45"/>
      <c r="Y32" s="45"/>
      <c r="Z32" s="45"/>
      <c r="AA32" s="9"/>
      <c r="AB32" s="105">
        <f t="shared" si="1"/>
        <v>2</v>
      </c>
      <c r="AC32" s="101">
        <f t="shared" si="2"/>
        <v>0</v>
      </c>
      <c r="AD32" s="101">
        <f t="shared" si="3"/>
        <v>0</v>
      </c>
      <c r="AE32" s="101">
        <f t="shared" si="4"/>
        <v>-1</v>
      </c>
      <c r="AF32" s="101">
        <f t="shared" si="5"/>
        <v>1</v>
      </c>
      <c r="AG32" s="102" t="e">
        <f t="shared" si="6"/>
        <v>#DIV/0!</v>
      </c>
      <c r="AK32" s="195">
        <f t="shared" si="7"/>
        <v>1</v>
      </c>
      <c r="AN32" s="6">
        <f t="shared" si="8"/>
        <v>0</v>
      </c>
      <c r="AO32" s="6">
        <f t="shared" si="9"/>
        <v>0</v>
      </c>
      <c r="AP32" s="6">
        <f t="shared" si="10"/>
        <v>0</v>
      </c>
      <c r="AQ32" s="6">
        <f t="shared" si="11"/>
        <v>0</v>
      </c>
      <c r="AR32" s="6">
        <f t="shared" si="12"/>
        <v>0</v>
      </c>
      <c r="AS32" s="6">
        <f t="shared" si="13"/>
        <v>0</v>
      </c>
      <c r="AT32" s="6">
        <f t="shared" si="14"/>
        <v>0</v>
      </c>
      <c r="AU32" s="6">
        <f t="shared" si="15"/>
        <v>0</v>
      </c>
      <c r="AV32" s="6">
        <f t="shared" si="16"/>
        <v>0</v>
      </c>
      <c r="AW32" s="6">
        <f t="shared" si="17"/>
        <v>0</v>
      </c>
      <c r="AX32" s="6">
        <f t="shared" si="18"/>
        <v>0</v>
      </c>
      <c r="AY32" s="6">
        <f t="shared" si="19"/>
        <v>0</v>
      </c>
      <c r="AZ32" s="6">
        <f t="shared" si="20"/>
        <v>-1</v>
      </c>
      <c r="BA32" s="6">
        <f t="shared" si="21"/>
        <v>0</v>
      </c>
      <c r="BB32" s="6">
        <f t="shared" si="22"/>
        <v>0</v>
      </c>
      <c r="BC32" s="6">
        <f t="shared" si="23"/>
        <v>0</v>
      </c>
      <c r="BD32" s="6">
        <f t="shared" si="24"/>
        <v>0</v>
      </c>
      <c r="BE32" s="6">
        <f t="shared" si="25"/>
        <v>0</v>
      </c>
      <c r="BF32" s="6">
        <f t="shared" si="26"/>
        <v>0</v>
      </c>
      <c r="BG32" s="6">
        <f t="shared" si="27"/>
        <v>0</v>
      </c>
      <c r="BH32" s="6">
        <f t="shared" si="28"/>
        <v>0</v>
      </c>
      <c r="BI32" s="6">
        <f t="shared" si="29"/>
        <v>0</v>
      </c>
      <c r="BJ32" s="6">
        <f t="shared" si="30"/>
        <v>0</v>
      </c>
      <c r="BK32" s="6">
        <f t="shared" si="31"/>
        <v>0</v>
      </c>
      <c r="BL32" s="6">
        <f t="shared" si="32"/>
        <v>0</v>
      </c>
      <c r="BM32" s="3">
        <f t="shared" si="33"/>
        <v>-1</v>
      </c>
      <c r="BN32" s="3"/>
      <c r="BO32" s="3"/>
    </row>
    <row r="33" spans="1:67" x14ac:dyDescent="0.25">
      <c r="A33" s="3">
        <v>27</v>
      </c>
      <c r="B33" s="153" t="s">
        <v>78</v>
      </c>
      <c r="C33" s="148"/>
      <c r="D33" s="281"/>
      <c r="E33" s="148"/>
      <c r="F33" s="14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45"/>
      <c r="X33" s="45"/>
      <c r="Y33" s="45"/>
      <c r="Z33" s="45"/>
      <c r="AA33" s="9"/>
      <c r="AB33" s="105">
        <f t="shared" si="1"/>
        <v>0</v>
      </c>
      <c r="AC33" s="101">
        <f t="shared" si="2"/>
        <v>0</v>
      </c>
      <c r="AD33" s="101">
        <f t="shared" si="3"/>
        <v>0</v>
      </c>
      <c r="AE33" s="101">
        <f t="shared" si="4"/>
        <v>0</v>
      </c>
      <c r="AF33" s="101">
        <f t="shared" si="5"/>
        <v>0</v>
      </c>
      <c r="AG33" s="102" t="e">
        <f t="shared" si="6"/>
        <v>#DIV/0!</v>
      </c>
      <c r="AH33" s="6"/>
      <c r="AI33" s="6"/>
      <c r="AK33" s="195">
        <f t="shared" si="7"/>
        <v>0</v>
      </c>
      <c r="AN33" s="6">
        <f t="shared" si="8"/>
        <v>0</v>
      </c>
      <c r="AO33" s="6">
        <f t="shared" si="9"/>
        <v>0</v>
      </c>
      <c r="AP33" s="6">
        <f t="shared" si="10"/>
        <v>0</v>
      </c>
      <c r="AQ33" s="6">
        <f t="shared" si="11"/>
        <v>0</v>
      </c>
      <c r="AR33" s="6">
        <f t="shared" si="12"/>
        <v>0</v>
      </c>
      <c r="AS33" s="6">
        <f t="shared" si="13"/>
        <v>0</v>
      </c>
      <c r="AT33" s="6">
        <f t="shared" si="14"/>
        <v>0</v>
      </c>
      <c r="AU33" s="6">
        <f t="shared" si="15"/>
        <v>0</v>
      </c>
      <c r="AV33" s="6">
        <f t="shared" si="16"/>
        <v>0</v>
      </c>
      <c r="AW33" s="6">
        <f t="shared" si="17"/>
        <v>0</v>
      </c>
      <c r="AX33" s="6">
        <f t="shared" si="18"/>
        <v>0</v>
      </c>
      <c r="AY33" s="6">
        <f t="shared" si="19"/>
        <v>0</v>
      </c>
      <c r="AZ33" s="6">
        <f t="shared" si="20"/>
        <v>0</v>
      </c>
      <c r="BA33" s="6">
        <f t="shared" si="21"/>
        <v>0</v>
      </c>
      <c r="BB33" s="6">
        <f t="shared" si="22"/>
        <v>0</v>
      </c>
      <c r="BC33" s="6">
        <f t="shared" si="23"/>
        <v>0</v>
      </c>
      <c r="BD33" s="6">
        <f t="shared" si="24"/>
        <v>0</v>
      </c>
      <c r="BE33" s="6">
        <f t="shared" si="25"/>
        <v>0</v>
      </c>
      <c r="BF33" s="6">
        <f t="shared" si="26"/>
        <v>0</v>
      </c>
      <c r="BG33" s="6">
        <f t="shared" si="27"/>
        <v>0</v>
      </c>
      <c r="BH33" s="6">
        <f t="shared" si="28"/>
        <v>0</v>
      </c>
      <c r="BI33" s="6">
        <f t="shared" si="29"/>
        <v>0</v>
      </c>
      <c r="BJ33" s="6">
        <f t="shared" si="30"/>
        <v>0</v>
      </c>
      <c r="BK33" s="6">
        <f t="shared" si="31"/>
        <v>0</v>
      </c>
      <c r="BL33" s="6">
        <f t="shared" si="32"/>
        <v>0</v>
      </c>
      <c r="BM33" s="3">
        <f t="shared" si="33"/>
        <v>0</v>
      </c>
      <c r="BN33" s="3"/>
      <c r="BO33" s="3"/>
    </row>
    <row r="34" spans="1:67" x14ac:dyDescent="0.25">
      <c r="A34" s="3">
        <v>28</v>
      </c>
      <c r="B34" s="8" t="s">
        <v>79</v>
      </c>
      <c r="C34" s="9"/>
      <c r="D34" s="19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45"/>
      <c r="X34" s="45"/>
      <c r="Y34" s="45"/>
      <c r="Z34" s="45"/>
      <c r="AA34" s="9"/>
      <c r="AB34" s="105">
        <f t="shared" si="1"/>
        <v>0</v>
      </c>
      <c r="AC34" s="101">
        <f t="shared" si="2"/>
        <v>0</v>
      </c>
      <c r="AD34" s="101">
        <f t="shared" si="3"/>
        <v>0</v>
      </c>
      <c r="AE34" s="101">
        <f t="shared" si="4"/>
        <v>0</v>
      </c>
      <c r="AF34" s="101">
        <f t="shared" si="5"/>
        <v>0</v>
      </c>
      <c r="AG34" s="102" t="e">
        <f t="shared" si="6"/>
        <v>#DIV/0!</v>
      </c>
      <c r="AH34" s="6"/>
      <c r="AI34" s="6"/>
      <c r="AK34" s="195">
        <f t="shared" si="7"/>
        <v>0</v>
      </c>
      <c r="AN34" s="6">
        <f t="shared" si="8"/>
        <v>0</v>
      </c>
      <c r="AO34" s="6">
        <f t="shared" si="9"/>
        <v>0</v>
      </c>
      <c r="AP34" s="6">
        <f t="shared" si="10"/>
        <v>0</v>
      </c>
      <c r="AQ34" s="6">
        <f t="shared" si="11"/>
        <v>0</v>
      </c>
      <c r="AR34" s="6">
        <f t="shared" si="12"/>
        <v>0</v>
      </c>
      <c r="AS34" s="6">
        <f t="shared" si="13"/>
        <v>0</v>
      </c>
      <c r="AT34" s="6">
        <f t="shared" si="14"/>
        <v>0</v>
      </c>
      <c r="AU34" s="6">
        <f t="shared" si="15"/>
        <v>0</v>
      </c>
      <c r="AV34" s="6">
        <f t="shared" si="16"/>
        <v>0</v>
      </c>
      <c r="AW34" s="6">
        <f t="shared" si="17"/>
        <v>0</v>
      </c>
      <c r="AX34" s="6">
        <f t="shared" si="18"/>
        <v>0</v>
      </c>
      <c r="AY34" s="6">
        <f t="shared" si="19"/>
        <v>0</v>
      </c>
      <c r="AZ34" s="6">
        <f t="shared" si="20"/>
        <v>0</v>
      </c>
      <c r="BA34" s="6">
        <f t="shared" si="21"/>
        <v>0</v>
      </c>
      <c r="BB34" s="6">
        <f t="shared" si="22"/>
        <v>0</v>
      </c>
      <c r="BC34" s="6">
        <f t="shared" si="23"/>
        <v>0</v>
      </c>
      <c r="BD34" s="6">
        <f t="shared" si="24"/>
        <v>0</v>
      </c>
      <c r="BE34" s="6">
        <f t="shared" si="25"/>
        <v>0</v>
      </c>
      <c r="BF34" s="6">
        <f t="shared" si="26"/>
        <v>0</v>
      </c>
      <c r="BG34" s="6">
        <f t="shared" si="27"/>
        <v>0</v>
      </c>
      <c r="BH34" s="6">
        <f t="shared" si="28"/>
        <v>0</v>
      </c>
      <c r="BI34" s="6">
        <f t="shared" si="29"/>
        <v>0</v>
      </c>
      <c r="BJ34" s="6">
        <f t="shared" si="30"/>
        <v>0</v>
      </c>
      <c r="BK34" s="6">
        <f t="shared" si="31"/>
        <v>0</v>
      </c>
      <c r="BL34" s="6">
        <f t="shared" si="32"/>
        <v>0</v>
      </c>
      <c r="BM34" s="3">
        <f t="shared" si="33"/>
        <v>0</v>
      </c>
      <c r="BN34" s="3"/>
      <c r="BO34" s="3"/>
    </row>
    <row r="35" spans="1:67" x14ac:dyDescent="0.25">
      <c r="A35" s="3">
        <v>29</v>
      </c>
      <c r="B35" s="8" t="s">
        <v>80</v>
      </c>
      <c r="C35" s="9"/>
      <c r="D35" s="191"/>
      <c r="E35" s="9"/>
      <c r="F35" s="159" t="s">
        <v>52</v>
      </c>
      <c r="G35" s="159"/>
      <c r="H35" s="9"/>
      <c r="I35" s="9"/>
      <c r="J35" s="9"/>
      <c r="K35" s="9"/>
      <c r="L35" s="9" t="s">
        <v>48</v>
      </c>
      <c r="M35" s="9"/>
      <c r="N35" s="9"/>
      <c r="O35" s="160"/>
      <c r="P35" s="9"/>
      <c r="Q35" s="9"/>
      <c r="R35" s="159" t="s">
        <v>299</v>
      </c>
      <c r="S35" s="9" t="s">
        <v>299</v>
      </c>
      <c r="T35" s="9"/>
      <c r="U35" s="9"/>
      <c r="V35" s="159"/>
      <c r="W35" s="45"/>
      <c r="X35" s="45"/>
      <c r="Y35" s="45"/>
      <c r="Z35" s="45"/>
      <c r="AA35" s="159"/>
      <c r="AB35" s="105">
        <f t="shared" si="1"/>
        <v>2</v>
      </c>
      <c r="AC35" s="101">
        <f t="shared" si="2"/>
        <v>0</v>
      </c>
      <c r="AD35" s="101">
        <f t="shared" si="3"/>
        <v>0</v>
      </c>
      <c r="AE35" s="101">
        <f t="shared" si="4"/>
        <v>-1</v>
      </c>
      <c r="AF35" s="101">
        <f t="shared" si="5"/>
        <v>1</v>
      </c>
      <c r="AG35" s="102" t="e">
        <f t="shared" si="6"/>
        <v>#DIV/0!</v>
      </c>
      <c r="AH35" s="6"/>
      <c r="AI35" s="6"/>
      <c r="AK35" s="195">
        <f t="shared" si="7"/>
        <v>1</v>
      </c>
      <c r="AN35" s="6">
        <f t="shared" si="8"/>
        <v>0</v>
      </c>
      <c r="AO35" s="6">
        <f t="shared" si="9"/>
        <v>0</v>
      </c>
      <c r="AP35" s="6">
        <f t="shared" si="10"/>
        <v>0</v>
      </c>
      <c r="AQ35" s="6">
        <f t="shared" si="11"/>
        <v>0</v>
      </c>
      <c r="AR35" s="6">
        <f t="shared" si="12"/>
        <v>0</v>
      </c>
      <c r="AS35" s="6">
        <f t="shared" si="13"/>
        <v>0</v>
      </c>
      <c r="AT35" s="6">
        <f t="shared" si="14"/>
        <v>0</v>
      </c>
      <c r="AU35" s="6">
        <f t="shared" si="15"/>
        <v>0</v>
      </c>
      <c r="AV35" s="6">
        <f t="shared" si="16"/>
        <v>0</v>
      </c>
      <c r="AW35" s="6">
        <f t="shared" si="17"/>
        <v>-1</v>
      </c>
      <c r="AX35" s="6">
        <f t="shared" si="18"/>
        <v>0</v>
      </c>
      <c r="AY35" s="6">
        <f t="shared" si="19"/>
        <v>0</v>
      </c>
      <c r="AZ35" s="6">
        <f t="shared" si="20"/>
        <v>0</v>
      </c>
      <c r="BA35" s="6">
        <f t="shared" si="21"/>
        <v>0</v>
      </c>
      <c r="BB35" s="6">
        <f t="shared" si="22"/>
        <v>0</v>
      </c>
      <c r="BC35" s="6">
        <f t="shared" si="23"/>
        <v>0</v>
      </c>
      <c r="BD35" s="6">
        <f t="shared" si="24"/>
        <v>0</v>
      </c>
      <c r="BE35" s="6">
        <f t="shared" si="25"/>
        <v>0</v>
      </c>
      <c r="BF35" s="6">
        <f t="shared" si="26"/>
        <v>0</v>
      </c>
      <c r="BG35" s="6">
        <f t="shared" si="27"/>
        <v>0</v>
      </c>
      <c r="BH35" s="6">
        <f t="shared" si="28"/>
        <v>0</v>
      </c>
      <c r="BI35" s="6">
        <f t="shared" si="29"/>
        <v>0</v>
      </c>
      <c r="BJ35" s="6">
        <f t="shared" si="30"/>
        <v>0</v>
      </c>
      <c r="BK35" s="6">
        <f t="shared" si="31"/>
        <v>0</v>
      </c>
      <c r="BL35" s="6">
        <f t="shared" si="32"/>
        <v>0</v>
      </c>
      <c r="BM35" s="3">
        <f t="shared" si="33"/>
        <v>-1</v>
      </c>
      <c r="BN35" s="207"/>
      <c r="BO35" s="3"/>
    </row>
    <row r="36" spans="1:67" x14ac:dyDescent="0.25">
      <c r="A36" s="3">
        <v>30</v>
      </c>
      <c r="B36" s="8" t="s">
        <v>81</v>
      </c>
      <c r="C36" s="9"/>
      <c r="D36" s="191"/>
      <c r="E36" s="9"/>
      <c r="F36" s="159"/>
      <c r="G36" s="159"/>
      <c r="H36" s="9"/>
      <c r="I36" s="9"/>
      <c r="J36" s="9"/>
      <c r="K36" s="9"/>
      <c r="L36" s="9"/>
      <c r="M36" s="9"/>
      <c r="N36" s="9"/>
      <c r="O36" s="160"/>
      <c r="P36" s="9"/>
      <c r="R36" s="159" t="s">
        <v>52</v>
      </c>
      <c r="S36" s="9"/>
      <c r="T36" s="9"/>
      <c r="U36" s="9"/>
      <c r="V36" s="159"/>
      <c r="W36" s="45"/>
      <c r="X36" s="45"/>
      <c r="Y36" s="45"/>
      <c r="Z36" s="45"/>
      <c r="AA36" s="159"/>
      <c r="AB36" s="105">
        <f t="shared" si="1"/>
        <v>1</v>
      </c>
      <c r="AC36" s="101">
        <f t="shared" si="2"/>
        <v>0</v>
      </c>
      <c r="AD36" s="101">
        <f t="shared" si="3"/>
        <v>0</v>
      </c>
      <c r="AE36" s="101">
        <f t="shared" si="4"/>
        <v>0</v>
      </c>
      <c r="AF36" s="101">
        <f t="shared" si="5"/>
        <v>1</v>
      </c>
      <c r="AG36" s="102" t="e">
        <f t="shared" si="6"/>
        <v>#DIV/0!</v>
      </c>
      <c r="AH36" s="6"/>
      <c r="AI36" s="6"/>
      <c r="AK36" s="195">
        <f t="shared" si="7"/>
        <v>0</v>
      </c>
      <c r="AN36" s="6">
        <f t="shared" si="8"/>
        <v>0</v>
      </c>
      <c r="AO36" s="6">
        <f t="shared" si="9"/>
        <v>0</v>
      </c>
      <c r="AP36" s="6">
        <f t="shared" si="10"/>
        <v>0</v>
      </c>
      <c r="AQ36" s="6">
        <f t="shared" si="11"/>
        <v>0</v>
      </c>
      <c r="AR36" s="6">
        <f t="shared" si="12"/>
        <v>0</v>
      </c>
      <c r="AS36" s="6">
        <f t="shared" si="13"/>
        <v>0</v>
      </c>
      <c r="AT36" s="6">
        <f t="shared" si="14"/>
        <v>0</v>
      </c>
      <c r="AU36" s="6">
        <f t="shared" si="15"/>
        <v>0</v>
      </c>
      <c r="AV36" s="6">
        <f t="shared" si="16"/>
        <v>0</v>
      </c>
      <c r="AW36" s="6">
        <f t="shared" si="17"/>
        <v>0</v>
      </c>
      <c r="AX36" s="6">
        <f t="shared" si="18"/>
        <v>0</v>
      </c>
      <c r="AY36" s="6">
        <f t="shared" si="19"/>
        <v>0</v>
      </c>
      <c r="AZ36" s="6">
        <f t="shared" si="20"/>
        <v>0</v>
      </c>
      <c r="BA36" s="6">
        <f t="shared" si="21"/>
        <v>0</v>
      </c>
      <c r="BB36" s="6">
        <f t="shared" si="22"/>
        <v>0</v>
      </c>
      <c r="BC36" s="6">
        <f t="shared" si="23"/>
        <v>0</v>
      </c>
      <c r="BD36" s="6">
        <f t="shared" si="24"/>
        <v>0</v>
      </c>
      <c r="BE36" s="6">
        <f t="shared" si="25"/>
        <v>0</v>
      </c>
      <c r="BF36" s="6">
        <f t="shared" si="26"/>
        <v>0</v>
      </c>
      <c r="BG36" s="6">
        <f t="shared" si="27"/>
        <v>0</v>
      </c>
      <c r="BH36" s="6">
        <f t="shared" si="28"/>
        <v>0</v>
      </c>
      <c r="BI36" s="6">
        <f t="shared" si="29"/>
        <v>0</v>
      </c>
      <c r="BJ36" s="6">
        <f t="shared" si="30"/>
        <v>0</v>
      </c>
      <c r="BK36" s="6">
        <f t="shared" si="31"/>
        <v>0</v>
      </c>
      <c r="BL36" s="6">
        <f t="shared" si="32"/>
        <v>0</v>
      </c>
      <c r="BM36" s="3">
        <f t="shared" si="33"/>
        <v>0</v>
      </c>
      <c r="BN36" s="207"/>
      <c r="BO36" s="3"/>
    </row>
    <row r="37" spans="1:67" x14ac:dyDescent="0.25">
      <c r="A37" s="3">
        <v>31</v>
      </c>
      <c r="B37" s="8" t="s">
        <v>82</v>
      </c>
      <c r="C37" s="9"/>
      <c r="D37" s="191"/>
      <c r="E37" s="9"/>
      <c r="F37" s="9" t="s">
        <v>52</v>
      </c>
      <c r="G37" s="9" t="s">
        <v>52</v>
      </c>
      <c r="H37" s="9"/>
      <c r="I37" s="9"/>
      <c r="J37" s="9" t="s">
        <v>52</v>
      </c>
      <c r="K37" s="9"/>
      <c r="L37" s="9"/>
      <c r="M37" s="9"/>
      <c r="N37" s="9"/>
      <c r="O37" s="9"/>
      <c r="P37" s="9"/>
      <c r="Q37" s="9"/>
      <c r="R37" s="9" t="s">
        <v>52</v>
      </c>
      <c r="S37" s="9" t="s">
        <v>52</v>
      </c>
      <c r="T37" s="9"/>
      <c r="U37" s="9"/>
      <c r="V37" s="9"/>
      <c r="W37" s="45"/>
      <c r="X37" s="45"/>
      <c r="Y37" s="45"/>
      <c r="Z37" s="45"/>
      <c r="AA37" s="9"/>
      <c r="AB37" s="105">
        <f t="shared" si="1"/>
        <v>5</v>
      </c>
      <c r="AC37" s="101">
        <f t="shared" si="2"/>
        <v>0</v>
      </c>
      <c r="AD37" s="101">
        <f t="shared" si="3"/>
        <v>0</v>
      </c>
      <c r="AE37" s="101">
        <f t="shared" si="4"/>
        <v>0</v>
      </c>
      <c r="AF37" s="101">
        <f t="shared" si="5"/>
        <v>5</v>
      </c>
      <c r="AG37" s="102" t="e">
        <f t="shared" si="6"/>
        <v>#DIV/0!</v>
      </c>
      <c r="AH37" s="6"/>
      <c r="AI37" s="6"/>
      <c r="AK37" s="195">
        <f t="shared" si="7"/>
        <v>0</v>
      </c>
      <c r="AN37" s="6">
        <f t="shared" si="8"/>
        <v>0</v>
      </c>
      <c r="AO37" s="6">
        <f t="shared" si="9"/>
        <v>0</v>
      </c>
      <c r="AP37" s="6">
        <f t="shared" si="10"/>
        <v>0</v>
      </c>
      <c r="AQ37" s="6">
        <f t="shared" si="11"/>
        <v>0</v>
      </c>
      <c r="AR37" s="6">
        <f t="shared" si="12"/>
        <v>0</v>
      </c>
      <c r="AS37" s="6">
        <f t="shared" si="13"/>
        <v>0</v>
      </c>
      <c r="AT37" s="6">
        <f t="shared" si="14"/>
        <v>0</v>
      </c>
      <c r="AU37" s="6">
        <f t="shared" si="15"/>
        <v>0</v>
      </c>
      <c r="AV37" s="6">
        <f t="shared" si="16"/>
        <v>0</v>
      </c>
      <c r="AW37" s="6">
        <f t="shared" si="17"/>
        <v>0</v>
      </c>
      <c r="AX37" s="6">
        <f t="shared" si="18"/>
        <v>0</v>
      </c>
      <c r="AY37" s="6">
        <f t="shared" si="19"/>
        <v>0</v>
      </c>
      <c r="AZ37" s="6">
        <f t="shared" si="20"/>
        <v>0</v>
      </c>
      <c r="BA37" s="6">
        <f t="shared" si="21"/>
        <v>0</v>
      </c>
      <c r="BB37" s="6">
        <f t="shared" si="22"/>
        <v>0</v>
      </c>
      <c r="BC37" s="6">
        <f t="shared" si="23"/>
        <v>0</v>
      </c>
      <c r="BD37" s="6">
        <f t="shared" si="24"/>
        <v>0</v>
      </c>
      <c r="BE37" s="6">
        <f t="shared" si="25"/>
        <v>0</v>
      </c>
      <c r="BF37" s="6">
        <f t="shared" si="26"/>
        <v>0</v>
      </c>
      <c r="BG37" s="6">
        <f t="shared" si="27"/>
        <v>0</v>
      </c>
      <c r="BH37" s="6">
        <f t="shared" si="28"/>
        <v>0</v>
      </c>
      <c r="BI37" s="6">
        <f t="shared" si="29"/>
        <v>0</v>
      </c>
      <c r="BJ37" s="6">
        <f t="shared" si="30"/>
        <v>0</v>
      </c>
      <c r="BK37" s="6">
        <f t="shared" si="31"/>
        <v>0</v>
      </c>
      <c r="BL37" s="6">
        <f t="shared" si="32"/>
        <v>0</v>
      </c>
      <c r="BM37" s="3">
        <f t="shared" si="33"/>
        <v>0</v>
      </c>
      <c r="BN37" s="3"/>
      <c r="BO37" s="3"/>
    </row>
    <row r="38" spans="1:67" x14ac:dyDescent="0.25">
      <c r="A38" s="3"/>
      <c r="B38" s="8"/>
      <c r="C38" s="82">
        <f t="shared" ref="C38:AA38" si="34">SUM(COUNTIF(C7:C37,"h"),COUNTIF(C7:C37,"w"),COUNTIF(C7:C37,"k"))</f>
        <v>10</v>
      </c>
      <c r="D38" s="82">
        <f t="shared" si="34"/>
        <v>11</v>
      </c>
      <c r="E38" s="82">
        <f t="shared" si="34"/>
        <v>9</v>
      </c>
      <c r="F38" s="82">
        <f t="shared" si="34"/>
        <v>9</v>
      </c>
      <c r="G38" s="82">
        <f t="shared" si="34"/>
        <v>7</v>
      </c>
      <c r="H38" s="82">
        <f t="shared" si="34"/>
        <v>8</v>
      </c>
      <c r="I38" s="82">
        <f t="shared" si="34"/>
        <v>9</v>
      </c>
      <c r="J38" s="82">
        <f t="shared" si="34"/>
        <v>7</v>
      </c>
      <c r="K38" s="82">
        <f t="shared" si="34"/>
        <v>11</v>
      </c>
      <c r="L38" s="82">
        <f t="shared" si="34"/>
        <v>9</v>
      </c>
      <c r="M38" s="82">
        <f t="shared" si="34"/>
        <v>8</v>
      </c>
      <c r="N38" s="82">
        <f t="shared" si="34"/>
        <v>11</v>
      </c>
      <c r="O38" s="82">
        <f t="shared" si="34"/>
        <v>7</v>
      </c>
      <c r="P38" s="82">
        <f t="shared" si="34"/>
        <v>8</v>
      </c>
      <c r="Q38" s="82">
        <f t="shared" si="34"/>
        <v>7</v>
      </c>
      <c r="R38" s="82">
        <f t="shared" si="34"/>
        <v>9</v>
      </c>
      <c r="S38" s="82">
        <f t="shared" si="34"/>
        <v>9</v>
      </c>
      <c r="T38" s="82">
        <f t="shared" si="34"/>
        <v>7</v>
      </c>
      <c r="U38" s="82">
        <f t="shared" si="34"/>
        <v>10</v>
      </c>
      <c r="V38" s="82">
        <f t="shared" si="34"/>
        <v>8</v>
      </c>
      <c r="W38" s="43">
        <f t="shared" si="34"/>
        <v>0</v>
      </c>
      <c r="X38" s="82">
        <f t="shared" si="34"/>
        <v>0</v>
      </c>
      <c r="Y38" s="82">
        <f t="shared" si="34"/>
        <v>0</v>
      </c>
      <c r="Z38" s="43">
        <f t="shared" si="34"/>
        <v>0</v>
      </c>
      <c r="AA38" s="82">
        <f t="shared" si="34"/>
        <v>0</v>
      </c>
      <c r="AB38" s="105">
        <f t="shared" si="1"/>
        <v>0</v>
      </c>
      <c r="AC38" s="101">
        <f t="shared" si="2"/>
        <v>0</v>
      </c>
      <c r="AD38" s="142"/>
      <c r="AF38" s="133"/>
      <c r="AG38" s="90"/>
      <c r="AH38" s="6"/>
      <c r="AI38" s="6"/>
      <c r="AK38" s="197"/>
    </row>
    <row r="39" spans="1:67" x14ac:dyDescent="0.25">
      <c r="A39" s="7"/>
      <c r="AC39" s="143"/>
      <c r="AD39" s="143"/>
      <c r="AF39" s="133"/>
      <c r="AG39" s="91"/>
      <c r="AH39" s="6"/>
      <c r="AI39" s="6"/>
      <c r="AK39" s="196"/>
    </row>
    <row r="40" spans="1:67" x14ac:dyDescent="0.25">
      <c r="A40" s="7"/>
      <c r="B40" s="7" t="s">
        <v>83</v>
      </c>
      <c r="C40" s="134" t="str">
        <f t="shared" ref="C40:I40" si="35">IF(C38&gt;10,"ja","nee")</f>
        <v>nee</v>
      </c>
      <c r="D40" s="134" t="str">
        <f t="shared" si="35"/>
        <v>ja</v>
      </c>
      <c r="E40" s="134" t="str">
        <f t="shared" si="35"/>
        <v>nee</v>
      </c>
      <c r="F40" s="134" t="str">
        <f t="shared" si="35"/>
        <v>nee</v>
      </c>
      <c r="G40" s="134" t="str">
        <f t="shared" si="35"/>
        <v>nee</v>
      </c>
      <c r="H40" s="134" t="str">
        <f t="shared" si="35"/>
        <v>nee</v>
      </c>
      <c r="I40" s="134" t="str">
        <f t="shared" si="35"/>
        <v>nee</v>
      </c>
      <c r="J40" s="134" t="str">
        <f t="shared" ref="J40:AA40" si="36">IF(J38&gt;10,"ja","nee")</f>
        <v>nee</v>
      </c>
      <c r="K40" s="134" t="str">
        <f t="shared" si="36"/>
        <v>ja</v>
      </c>
      <c r="L40" s="134" t="str">
        <f t="shared" si="36"/>
        <v>nee</v>
      </c>
      <c r="M40" s="134" t="str">
        <f t="shared" si="36"/>
        <v>nee</v>
      </c>
      <c r="N40" s="134" t="str">
        <f t="shared" si="36"/>
        <v>ja</v>
      </c>
      <c r="O40" s="134" t="str">
        <f t="shared" si="36"/>
        <v>nee</v>
      </c>
      <c r="P40" s="134" t="str">
        <f t="shared" si="36"/>
        <v>nee</v>
      </c>
      <c r="Q40" s="134" t="str">
        <f t="shared" si="36"/>
        <v>nee</v>
      </c>
      <c r="R40" s="134" t="str">
        <f t="shared" si="36"/>
        <v>nee</v>
      </c>
      <c r="S40" s="134" t="str">
        <f t="shared" si="36"/>
        <v>nee</v>
      </c>
      <c r="T40" s="134" t="str">
        <f t="shared" si="36"/>
        <v>nee</v>
      </c>
      <c r="U40" s="134" t="str">
        <f t="shared" si="36"/>
        <v>nee</v>
      </c>
      <c r="V40" s="134" t="str">
        <f t="shared" si="36"/>
        <v>nee</v>
      </c>
      <c r="W40" s="134" t="str">
        <f t="shared" si="36"/>
        <v>nee</v>
      </c>
      <c r="X40" s="134" t="str">
        <f t="shared" si="36"/>
        <v>nee</v>
      </c>
      <c r="Y40" s="134" t="str">
        <f t="shared" si="36"/>
        <v>nee</v>
      </c>
      <c r="Z40" s="134" t="str">
        <f t="shared" si="36"/>
        <v>nee</v>
      </c>
      <c r="AA40" s="134" t="str">
        <f t="shared" si="36"/>
        <v>nee</v>
      </c>
      <c r="AB40" s="105">
        <f>SUM(AB7:AB37)</f>
        <v>199</v>
      </c>
      <c r="AC40" s="6"/>
      <c r="AD40" s="6"/>
      <c r="AF40" s="133"/>
      <c r="AG40" s="6"/>
      <c r="AH40" s="6"/>
      <c r="AI40" s="6"/>
      <c r="AJ40" s="65" t="s">
        <v>84</v>
      </c>
      <c r="AK40" s="195">
        <f>SUM(AK7:AK37)</f>
        <v>174</v>
      </c>
    </row>
    <row r="41" spans="1:67" x14ac:dyDescent="0.25">
      <c r="A41" s="7"/>
      <c r="B41" s="7"/>
      <c r="C41" s="7"/>
      <c r="D41" s="7"/>
      <c r="E41" s="19"/>
      <c r="F41" s="7"/>
      <c r="G41" s="7"/>
      <c r="H41" s="7"/>
      <c r="I41" s="7"/>
      <c r="J41" s="7"/>
      <c r="K41" s="7"/>
      <c r="L41" s="7"/>
      <c r="M41" s="7"/>
      <c r="N41" s="7"/>
      <c r="O41" s="7"/>
      <c r="P41" s="6"/>
      <c r="Q41" s="6"/>
      <c r="R41" s="7"/>
      <c r="S41" s="7"/>
      <c r="T41" s="6"/>
      <c r="U41" s="6"/>
      <c r="V41" s="6"/>
      <c r="W41" s="6"/>
      <c r="X41" s="6"/>
      <c r="Y41" s="6"/>
      <c r="Z41" s="6"/>
      <c r="AA41" s="6"/>
      <c r="AB41" s="6"/>
    </row>
    <row r="42" spans="1:67" x14ac:dyDescent="0.25">
      <c r="A42" s="7"/>
      <c r="B42" s="7"/>
      <c r="C42" s="7"/>
      <c r="D42" s="7"/>
      <c r="E42" s="19"/>
      <c r="F42" s="7"/>
      <c r="G42" s="7"/>
      <c r="H42" s="7"/>
      <c r="I42" s="7"/>
      <c r="J42" s="7"/>
      <c r="K42" s="7"/>
      <c r="L42" s="7"/>
      <c r="M42" s="7"/>
      <c r="N42" s="7"/>
      <c r="O42" s="7"/>
      <c r="P42" s="6"/>
      <c r="Q42" s="6"/>
      <c r="R42" s="7"/>
      <c r="S42" s="7"/>
      <c r="T42" s="6"/>
      <c r="U42" s="6"/>
      <c r="V42" s="6"/>
      <c r="W42" s="6"/>
      <c r="X42" s="6"/>
      <c r="Y42" s="6"/>
      <c r="Z42" s="6"/>
      <c r="AA42" s="6"/>
      <c r="AB42" s="6"/>
    </row>
    <row r="43" spans="1:67" x14ac:dyDescent="0.25">
      <c r="A43" s="7"/>
      <c r="C43" s="7"/>
      <c r="D43" s="7"/>
      <c r="E43" s="221" t="s">
        <v>85</v>
      </c>
      <c r="G43" s="7"/>
      <c r="H43" s="7"/>
      <c r="I43" s="7"/>
      <c r="J43" s="7"/>
      <c r="K43" s="7"/>
      <c r="L43" s="7"/>
      <c r="M43" s="7"/>
      <c r="N43" s="7"/>
      <c r="O43" s="7"/>
      <c r="P43" s="6"/>
      <c r="Q43" s="6"/>
      <c r="R43" s="7"/>
      <c r="S43" s="7"/>
      <c r="T43" s="6"/>
      <c r="U43" s="6"/>
      <c r="V43" s="6"/>
      <c r="W43" s="6"/>
      <c r="X43" s="6"/>
      <c r="Y43" s="6"/>
      <c r="Z43" s="6"/>
      <c r="AA43" s="6"/>
      <c r="AB43" s="6"/>
    </row>
    <row r="44" spans="1:67" x14ac:dyDescent="0.25">
      <c r="A44" s="7"/>
      <c r="B44" s="19"/>
      <c r="C44" s="7"/>
      <c r="D44" s="7"/>
      <c r="E44" s="222" t="s">
        <v>86</v>
      </c>
      <c r="G44" s="7"/>
      <c r="H44" s="7"/>
      <c r="I44" s="7"/>
      <c r="J44" s="7"/>
      <c r="K44" s="7"/>
      <c r="L44" s="7"/>
      <c r="M44" s="7"/>
      <c r="N44" s="7"/>
      <c r="O44" s="7"/>
      <c r="P44" s="6"/>
      <c r="Q44" s="6"/>
      <c r="R44" s="7"/>
      <c r="S44" s="7"/>
      <c r="T44" s="6"/>
      <c r="U44" s="6"/>
      <c r="V44" s="6"/>
      <c r="W44" s="6"/>
      <c r="X44" s="6"/>
      <c r="Y44" s="6"/>
      <c r="Z44" s="6"/>
      <c r="AA44" s="6"/>
      <c r="AB44" s="6"/>
    </row>
    <row r="45" spans="1:67" x14ac:dyDescent="0.25">
      <c r="A45" s="7"/>
      <c r="B45" s="172" t="s">
        <v>87</v>
      </c>
      <c r="C45" s="20">
        <v>2</v>
      </c>
      <c r="D45" s="7"/>
      <c r="F45" s="6"/>
      <c r="G45" s="7"/>
      <c r="H45" s="7"/>
      <c r="I45" s="7"/>
      <c r="J45" s="7"/>
      <c r="K45" s="7"/>
      <c r="L45" s="7"/>
      <c r="M45" s="7"/>
      <c r="N45" s="7"/>
      <c r="O45" s="7"/>
      <c r="P45" s="6"/>
      <c r="Q45" s="6"/>
      <c r="R45" s="7"/>
      <c r="S45" s="7"/>
      <c r="T45" s="6"/>
      <c r="U45" s="6"/>
      <c r="V45" s="6"/>
      <c r="W45" s="6"/>
      <c r="X45" s="6"/>
      <c r="Y45" s="6"/>
      <c r="Z45" s="6"/>
      <c r="AA45" s="6"/>
      <c r="AB45" s="6"/>
    </row>
    <row r="46" spans="1:67" x14ac:dyDescent="0.25">
      <c r="B46" s="22" t="s">
        <v>88</v>
      </c>
      <c r="C46" s="20">
        <v>8</v>
      </c>
      <c r="D46" s="7"/>
      <c r="E46" s="223" t="s">
        <v>89</v>
      </c>
      <c r="F46" s="229" t="s">
        <v>48</v>
      </c>
    </row>
    <row r="47" spans="1:67" x14ac:dyDescent="0.25">
      <c r="B47" s="15" t="s">
        <v>90</v>
      </c>
      <c r="C47" s="23">
        <v>1</v>
      </c>
      <c r="D47" s="7"/>
      <c r="E47" s="224" t="s">
        <v>30</v>
      </c>
      <c r="F47" s="230" t="s">
        <v>74</v>
      </c>
    </row>
    <row r="48" spans="1:67" x14ac:dyDescent="0.25">
      <c r="B48" s="210" t="s">
        <v>91</v>
      </c>
      <c r="C48" s="211">
        <v>0</v>
      </c>
      <c r="D48" s="7"/>
      <c r="E48" s="225" t="s">
        <v>92</v>
      </c>
      <c r="F48" s="231" t="s">
        <v>50</v>
      </c>
    </row>
    <row r="49" spans="2:6" x14ac:dyDescent="0.25">
      <c r="B49" s="7"/>
      <c r="C49" s="209">
        <f>SUM(C45:C48)</f>
        <v>11</v>
      </c>
      <c r="D49" s="7"/>
      <c r="E49" s="226" t="s">
        <v>93</v>
      </c>
      <c r="F49" s="232">
        <v>1</v>
      </c>
    </row>
    <row r="50" spans="2:6" x14ac:dyDescent="0.25">
      <c r="B50" s="7"/>
      <c r="C50" s="7"/>
      <c r="D50" s="7"/>
      <c r="E50" s="227" t="s">
        <v>32</v>
      </c>
      <c r="F50" s="233" t="s">
        <v>52</v>
      </c>
    </row>
    <row r="51" spans="2:6" x14ac:dyDescent="0.25">
      <c r="E51" s="228" t="s">
        <v>94</v>
      </c>
      <c r="F51" s="234">
        <v>1</v>
      </c>
    </row>
    <row r="52" spans="2:6" x14ac:dyDescent="0.25">
      <c r="E52" s="65"/>
      <c r="F52" s="3"/>
    </row>
    <row r="53" spans="2:6" x14ac:dyDescent="0.25">
      <c r="E53" s="129" t="s">
        <v>87</v>
      </c>
      <c r="F53" s="6"/>
    </row>
    <row r="54" spans="2:6" x14ac:dyDescent="0.25">
      <c r="E54" s="130" t="s">
        <v>88</v>
      </c>
      <c r="F54" s="6"/>
    </row>
    <row r="55" spans="2:6" x14ac:dyDescent="0.25">
      <c r="E55" s="131" t="s">
        <v>95</v>
      </c>
      <c r="F55" s="6"/>
    </row>
    <row r="56" spans="2:6" x14ac:dyDescent="0.25">
      <c r="E56" s="132" t="s">
        <v>91</v>
      </c>
      <c r="F56" s="6"/>
    </row>
  </sheetData>
  <sortState xmlns:xlrd2="http://schemas.microsoft.com/office/spreadsheetml/2017/richdata2" ref="B7:AG28">
    <sortCondition ref="AG7:AG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6"/>
  <sheetViews>
    <sheetView zoomScale="75" zoomScaleNormal="75" workbookViewId="0">
      <selection activeCell="K13" sqref="K13"/>
    </sheetView>
  </sheetViews>
  <sheetFormatPr defaultColWidth="9.109375" defaultRowHeight="13.2" x14ac:dyDescent="0.25"/>
  <cols>
    <col min="2" max="2" width="24.109375" customWidth="1"/>
    <col min="3" max="23" width="9.109375" bestFit="1" customWidth="1"/>
    <col min="24" max="24" width="9.109375" customWidth="1"/>
    <col min="25" max="27" width="9.109375" bestFit="1" customWidth="1"/>
  </cols>
  <sheetData>
    <row r="1" spans="1:30" ht="58.2" customHeight="1" x14ac:dyDescent="0.25">
      <c r="A1" s="25"/>
      <c r="B1" s="26"/>
      <c r="C1" s="58" t="s">
        <v>0</v>
      </c>
      <c r="D1" s="73" t="s">
        <v>1</v>
      </c>
      <c r="E1" s="58" t="s">
        <v>2</v>
      </c>
      <c r="F1" s="58" t="s">
        <v>3</v>
      </c>
      <c r="G1" s="254" t="s">
        <v>4</v>
      </c>
      <c r="H1" s="254" t="s">
        <v>5</v>
      </c>
      <c r="I1" s="254" t="s">
        <v>6</v>
      </c>
      <c r="J1" s="154" t="s">
        <v>7</v>
      </c>
      <c r="K1" s="254" t="s">
        <v>8</v>
      </c>
      <c r="L1" s="58" t="s">
        <v>0</v>
      </c>
      <c r="M1" s="154" t="s">
        <v>9</v>
      </c>
      <c r="N1" s="254" t="s">
        <v>10</v>
      </c>
      <c r="O1" s="154" t="s">
        <v>10</v>
      </c>
      <c r="P1" s="154" t="s">
        <v>7</v>
      </c>
      <c r="Q1" s="154" t="s">
        <v>11</v>
      </c>
      <c r="R1" s="254" t="s">
        <v>12</v>
      </c>
      <c r="S1" s="73" t="s">
        <v>13</v>
      </c>
      <c r="T1" s="73" t="s">
        <v>13</v>
      </c>
      <c r="U1" s="58" t="s">
        <v>0</v>
      </c>
      <c r="V1" s="73" t="s">
        <v>1</v>
      </c>
      <c r="W1" s="147"/>
      <c r="X1" s="147"/>
      <c r="Y1" s="147"/>
      <c r="Z1" s="147"/>
      <c r="AA1" s="147"/>
      <c r="AB1" s="5"/>
    </row>
    <row r="2" spans="1:30" ht="94.5" customHeight="1" x14ac:dyDescent="0.25">
      <c r="A2" s="25"/>
      <c r="B2" s="1"/>
      <c r="C2" s="79" t="s">
        <v>14</v>
      </c>
      <c r="D2" s="80" t="s">
        <v>15</v>
      </c>
      <c r="E2" s="79" t="s">
        <v>16</v>
      </c>
      <c r="F2" s="80" t="s">
        <v>17</v>
      </c>
      <c r="G2" s="80" t="s">
        <v>18</v>
      </c>
      <c r="H2" s="79" t="s">
        <v>19</v>
      </c>
      <c r="I2" s="79" t="s">
        <v>20</v>
      </c>
      <c r="J2" s="80" t="s">
        <v>21</v>
      </c>
      <c r="K2" s="80" t="s">
        <v>22</v>
      </c>
      <c r="L2" s="79" t="s">
        <v>21</v>
      </c>
      <c r="M2" s="80" t="s">
        <v>23</v>
      </c>
      <c r="N2" s="80" t="s">
        <v>14</v>
      </c>
      <c r="O2" s="79" t="s">
        <v>15</v>
      </c>
      <c r="P2" s="80" t="s">
        <v>16</v>
      </c>
      <c r="Q2" s="79" t="s">
        <v>18</v>
      </c>
      <c r="R2" s="80" t="s">
        <v>19</v>
      </c>
      <c r="S2" s="80" t="s">
        <v>20</v>
      </c>
      <c r="T2" s="79" t="s">
        <v>17</v>
      </c>
      <c r="U2" s="79" t="s">
        <v>22</v>
      </c>
      <c r="V2" s="79" t="s">
        <v>23</v>
      </c>
      <c r="W2" s="79" t="s">
        <v>96</v>
      </c>
      <c r="X2" s="79" t="s">
        <v>97</v>
      </c>
      <c r="Y2" s="79" t="s">
        <v>98</v>
      </c>
      <c r="Z2" s="79" t="s">
        <v>99</v>
      </c>
      <c r="AA2" s="79"/>
    </row>
    <row r="3" spans="1:30" ht="43.8" x14ac:dyDescent="0.25">
      <c r="A3" s="25"/>
      <c r="B3" s="83" t="s">
        <v>39</v>
      </c>
      <c r="C3" s="75">
        <v>45899</v>
      </c>
      <c r="D3" s="75">
        <v>45906</v>
      </c>
      <c r="E3" s="75">
        <v>45548</v>
      </c>
      <c r="F3" s="75">
        <v>45555</v>
      </c>
      <c r="G3" s="75">
        <v>45934</v>
      </c>
      <c r="H3" s="75">
        <v>45941</v>
      </c>
      <c r="I3" s="75">
        <v>45948</v>
      </c>
      <c r="J3" s="75">
        <v>45955</v>
      </c>
      <c r="K3" s="75">
        <v>45969</v>
      </c>
      <c r="L3" s="75">
        <v>45976</v>
      </c>
      <c r="M3" s="75">
        <v>45983</v>
      </c>
      <c r="N3" s="75">
        <v>45990</v>
      </c>
      <c r="O3" s="75">
        <v>45997</v>
      </c>
      <c r="P3" s="75">
        <v>46004</v>
      </c>
      <c r="Q3" s="75">
        <v>46032</v>
      </c>
      <c r="R3" s="75">
        <v>46046</v>
      </c>
      <c r="S3" s="75">
        <v>46053</v>
      </c>
      <c r="T3" s="75">
        <v>46060</v>
      </c>
      <c r="U3" s="75">
        <v>46081</v>
      </c>
      <c r="V3" s="75">
        <v>45555</v>
      </c>
      <c r="W3" s="76"/>
      <c r="X3" s="76"/>
      <c r="Y3" s="76"/>
      <c r="Z3" s="76"/>
      <c r="AA3" s="76"/>
      <c r="AB3" s="5"/>
    </row>
    <row r="4" spans="1:30" x14ac:dyDescent="0.25">
      <c r="A4" s="25">
        <v>1</v>
      </c>
      <c r="B4" s="257" t="s">
        <v>57</v>
      </c>
      <c r="C4" s="81"/>
      <c r="D4" s="43"/>
      <c r="E4" s="43"/>
      <c r="F4" s="43">
        <v>1</v>
      </c>
      <c r="G4" s="43"/>
      <c r="H4" s="43"/>
      <c r="I4" s="43"/>
      <c r="J4" s="43"/>
      <c r="K4" s="43"/>
      <c r="L4" s="43"/>
      <c r="M4" s="43">
        <v>1</v>
      </c>
      <c r="N4" s="43"/>
      <c r="O4" s="43">
        <v>1</v>
      </c>
      <c r="P4" s="43"/>
      <c r="Q4" s="43"/>
      <c r="R4" s="43"/>
      <c r="S4" s="43"/>
      <c r="T4" s="43"/>
      <c r="U4" s="43">
        <v>1</v>
      </c>
      <c r="V4" s="43"/>
      <c r="W4" s="43"/>
      <c r="X4" s="43"/>
      <c r="Y4" s="43"/>
      <c r="Z4" s="43"/>
      <c r="AA4" s="85"/>
      <c r="AB4" s="202">
        <f t="shared" ref="AB4:AB19" si="0">SUM(C4:AA4)</f>
        <v>4</v>
      </c>
      <c r="AC4" s="7"/>
      <c r="AD4" s="7"/>
    </row>
    <row r="5" spans="1:30" x14ac:dyDescent="0.25">
      <c r="A5" s="25">
        <v>2</v>
      </c>
      <c r="B5" s="8" t="s">
        <v>61</v>
      </c>
      <c r="C5" s="45">
        <v>1</v>
      </c>
      <c r="D5" s="43"/>
      <c r="E5" s="43"/>
      <c r="F5" s="43"/>
      <c r="G5" s="43"/>
      <c r="H5" s="43"/>
      <c r="I5" s="43"/>
      <c r="J5" s="43">
        <v>1</v>
      </c>
      <c r="K5" s="43"/>
      <c r="L5" s="43"/>
      <c r="M5" s="43"/>
      <c r="N5" s="43"/>
      <c r="O5" s="43"/>
      <c r="P5" s="43">
        <v>1</v>
      </c>
      <c r="Q5" s="43"/>
      <c r="R5" s="43"/>
      <c r="S5" s="43"/>
      <c r="T5" s="43"/>
      <c r="U5" s="43">
        <v>1</v>
      </c>
      <c r="V5" s="43"/>
      <c r="W5" s="43"/>
      <c r="X5" s="43"/>
      <c r="Y5" s="43"/>
      <c r="Z5" s="43"/>
      <c r="AA5" s="85"/>
      <c r="AB5" s="202">
        <f t="shared" si="0"/>
        <v>4</v>
      </c>
      <c r="AC5" s="7"/>
      <c r="AD5" s="7"/>
    </row>
    <row r="6" spans="1:30" x14ac:dyDescent="0.25">
      <c r="A6" s="25">
        <v>3</v>
      </c>
      <c r="B6" s="8" t="s">
        <v>60</v>
      </c>
      <c r="C6" s="45">
        <v>1</v>
      </c>
      <c r="D6" s="43"/>
      <c r="E6" s="43"/>
      <c r="F6" s="43"/>
      <c r="G6" s="43"/>
      <c r="H6" s="43"/>
      <c r="I6" s="43"/>
      <c r="J6" s="43"/>
      <c r="K6" s="43"/>
      <c r="L6" s="43"/>
      <c r="M6" s="43">
        <v>1</v>
      </c>
      <c r="N6" s="43"/>
      <c r="O6" s="43"/>
      <c r="P6" s="43">
        <v>1</v>
      </c>
      <c r="Q6" s="43"/>
      <c r="R6" s="43"/>
      <c r="S6" s="43"/>
      <c r="T6" s="43"/>
      <c r="U6" s="43"/>
      <c r="V6" s="43"/>
      <c r="W6" s="43"/>
      <c r="X6" s="43"/>
      <c r="Y6" s="43"/>
      <c r="Z6" s="43"/>
      <c r="AA6" s="85"/>
      <c r="AB6" s="202">
        <f t="shared" si="0"/>
        <v>3</v>
      </c>
      <c r="AC6" s="7"/>
      <c r="AD6" s="7"/>
    </row>
    <row r="7" spans="1:30" x14ac:dyDescent="0.25">
      <c r="A7" s="25">
        <v>4</v>
      </c>
      <c r="B7" s="27" t="s">
        <v>71</v>
      </c>
      <c r="C7" s="45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>
        <v>3</v>
      </c>
      <c r="R7" s="43"/>
      <c r="S7" s="43"/>
      <c r="T7" s="43"/>
      <c r="U7" s="43"/>
      <c r="V7" s="43"/>
      <c r="W7" s="43"/>
      <c r="X7" s="43"/>
      <c r="Y7" s="43"/>
      <c r="Z7" s="43"/>
      <c r="AA7" s="85"/>
      <c r="AB7" s="202">
        <f t="shared" si="0"/>
        <v>3</v>
      </c>
      <c r="AC7" s="7"/>
      <c r="AD7" s="7"/>
    </row>
    <row r="8" spans="1:30" x14ac:dyDescent="0.25">
      <c r="A8" s="25">
        <v>5</v>
      </c>
      <c r="B8" s="27" t="s">
        <v>53</v>
      </c>
      <c r="C8" s="45"/>
      <c r="D8" s="43">
        <v>1</v>
      </c>
      <c r="E8" s="43"/>
      <c r="F8" s="43"/>
      <c r="G8" s="43"/>
      <c r="H8" s="43"/>
      <c r="I8" s="43"/>
      <c r="J8" s="43">
        <v>1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85"/>
      <c r="AB8" s="202">
        <f t="shared" si="0"/>
        <v>2</v>
      </c>
      <c r="AC8" s="7"/>
      <c r="AD8" s="7"/>
    </row>
    <row r="9" spans="1:30" x14ac:dyDescent="0.25">
      <c r="A9" s="25">
        <v>6</v>
      </c>
      <c r="B9" s="27" t="s">
        <v>66</v>
      </c>
      <c r="C9" s="45"/>
      <c r="D9" s="43"/>
      <c r="E9" s="43"/>
      <c r="F9" s="43"/>
      <c r="G9" s="43"/>
      <c r="H9" s="43"/>
      <c r="I9" s="43"/>
      <c r="J9" s="43"/>
      <c r="K9" s="43">
        <v>2</v>
      </c>
      <c r="L9" s="43"/>
      <c r="M9" s="43"/>
      <c r="N9" s="43"/>
      <c r="O9" s="43"/>
      <c r="P9" s="43"/>
      <c r="Q9" s="43"/>
      <c r="R9" s="43">
        <v>1</v>
      </c>
      <c r="S9" s="43"/>
      <c r="T9" s="43"/>
      <c r="U9" s="43"/>
      <c r="V9" s="43"/>
      <c r="W9" s="43"/>
      <c r="X9" s="43"/>
      <c r="Y9" s="43"/>
      <c r="Z9" s="43"/>
      <c r="AA9" s="85"/>
      <c r="AB9" s="202">
        <f t="shared" si="0"/>
        <v>3</v>
      </c>
      <c r="AC9" s="7"/>
      <c r="AD9" s="7"/>
    </row>
    <row r="10" spans="1:30" x14ac:dyDescent="0.25">
      <c r="A10" s="25">
        <v>7</v>
      </c>
      <c r="B10" s="27" t="s">
        <v>58</v>
      </c>
      <c r="C10" s="45"/>
      <c r="D10" s="43"/>
      <c r="E10" s="43"/>
      <c r="F10" s="43"/>
      <c r="G10" s="43"/>
      <c r="H10" s="43"/>
      <c r="I10" s="43"/>
      <c r="J10" s="43"/>
      <c r="K10" s="43"/>
      <c r="L10" s="43">
        <v>1</v>
      </c>
      <c r="M10" s="43">
        <v>1</v>
      </c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85"/>
      <c r="AB10" s="202">
        <f t="shared" si="0"/>
        <v>2</v>
      </c>
      <c r="AC10" s="7"/>
      <c r="AD10" s="7"/>
    </row>
    <row r="11" spans="1:30" x14ac:dyDescent="0.25">
      <c r="A11" s="25">
        <v>8</v>
      </c>
      <c r="B11" s="8" t="s">
        <v>64</v>
      </c>
      <c r="C11" s="45"/>
      <c r="D11" s="43"/>
      <c r="E11" s="43"/>
      <c r="F11" s="43"/>
      <c r="G11" s="43"/>
      <c r="H11" s="43">
        <v>1</v>
      </c>
      <c r="I11" s="43"/>
      <c r="J11" s="43"/>
      <c r="K11" s="43"/>
      <c r="L11" s="43"/>
      <c r="M11" s="43"/>
      <c r="N11" s="43"/>
      <c r="O11" s="43"/>
      <c r="P11" s="43"/>
      <c r="Q11" s="43">
        <v>1</v>
      </c>
      <c r="R11" s="43"/>
      <c r="S11" s="43"/>
      <c r="T11" s="43"/>
      <c r="U11" s="43"/>
      <c r="V11" s="43"/>
      <c r="W11" s="43"/>
      <c r="X11" s="43"/>
      <c r="Y11" s="43"/>
      <c r="Z11" s="43"/>
      <c r="AA11" s="85"/>
      <c r="AB11" s="202">
        <f t="shared" si="0"/>
        <v>2</v>
      </c>
      <c r="AC11" s="7"/>
      <c r="AD11" s="7"/>
    </row>
    <row r="12" spans="1:30" x14ac:dyDescent="0.25">
      <c r="A12" s="25">
        <v>9</v>
      </c>
      <c r="B12" s="27" t="s">
        <v>63</v>
      </c>
      <c r="C12" s="45"/>
      <c r="D12" s="43"/>
      <c r="E12" s="43"/>
      <c r="F12" s="43">
        <v>1</v>
      </c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>
        <v>1</v>
      </c>
      <c r="S12" s="43"/>
      <c r="T12" s="43"/>
      <c r="U12" s="43"/>
      <c r="V12" s="43"/>
      <c r="W12" s="43"/>
      <c r="X12" s="43"/>
      <c r="Y12" s="43"/>
      <c r="Z12" s="43"/>
      <c r="AA12" s="85"/>
      <c r="AB12" s="202">
        <f t="shared" si="0"/>
        <v>2</v>
      </c>
      <c r="AC12" s="7"/>
      <c r="AD12" s="7"/>
    </row>
    <row r="13" spans="1:30" x14ac:dyDescent="0.25">
      <c r="A13" s="25">
        <v>10</v>
      </c>
      <c r="B13" s="27" t="s">
        <v>47</v>
      </c>
      <c r="C13" s="45"/>
      <c r="D13" s="43"/>
      <c r="E13" s="43"/>
      <c r="F13" s="43"/>
      <c r="G13" s="43"/>
      <c r="H13" s="43"/>
      <c r="I13" s="43"/>
      <c r="J13" s="43"/>
      <c r="K13" s="43"/>
      <c r="L13" s="43">
        <v>1</v>
      </c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85"/>
      <c r="AB13" s="202">
        <f t="shared" si="0"/>
        <v>1</v>
      </c>
      <c r="AC13" s="7"/>
      <c r="AD13" s="7"/>
    </row>
    <row r="14" spans="1:30" x14ac:dyDescent="0.25">
      <c r="A14" s="25">
        <v>11</v>
      </c>
      <c r="B14" s="8" t="s">
        <v>56</v>
      </c>
      <c r="C14" s="45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>
        <v>1</v>
      </c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85"/>
      <c r="AB14" s="202">
        <f t="shared" si="0"/>
        <v>1</v>
      </c>
      <c r="AC14" s="7"/>
      <c r="AD14" s="7"/>
    </row>
    <row r="15" spans="1:30" x14ac:dyDescent="0.25">
      <c r="A15" s="25">
        <v>12</v>
      </c>
      <c r="B15" s="27" t="s">
        <v>51</v>
      </c>
      <c r="C15" s="45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>
        <v>1</v>
      </c>
      <c r="W15" s="43"/>
      <c r="X15" s="43"/>
      <c r="Y15" s="43"/>
      <c r="Z15" s="43"/>
      <c r="AA15" s="85"/>
      <c r="AB15" s="202">
        <f t="shared" si="0"/>
        <v>1</v>
      </c>
      <c r="AC15" s="7"/>
      <c r="AD15" s="7"/>
    </row>
    <row r="16" spans="1:30" x14ac:dyDescent="0.25">
      <c r="A16" s="25">
        <v>13</v>
      </c>
      <c r="B16" s="27" t="s">
        <v>72</v>
      </c>
      <c r="C16" s="45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85"/>
      <c r="AB16" s="202">
        <f t="shared" si="0"/>
        <v>0</v>
      </c>
      <c r="AC16" s="7"/>
      <c r="AD16" s="7"/>
    </row>
    <row r="17" spans="1:30" x14ac:dyDescent="0.25">
      <c r="A17" s="25">
        <v>14</v>
      </c>
      <c r="B17" s="27" t="s">
        <v>67</v>
      </c>
      <c r="C17" s="45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85"/>
      <c r="AB17" s="202">
        <f t="shared" si="0"/>
        <v>0</v>
      </c>
      <c r="AC17" s="7"/>
      <c r="AD17" s="7"/>
    </row>
    <row r="18" spans="1:30" x14ac:dyDescent="0.25">
      <c r="A18" s="25">
        <v>15</v>
      </c>
      <c r="B18" s="27" t="s">
        <v>54</v>
      </c>
      <c r="C18" s="45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85"/>
      <c r="AB18" s="202">
        <f t="shared" si="0"/>
        <v>0</v>
      </c>
      <c r="AC18" s="7"/>
      <c r="AD18" s="7"/>
    </row>
    <row r="19" spans="1:30" x14ac:dyDescent="0.25">
      <c r="A19" s="25">
        <v>16</v>
      </c>
      <c r="B19" s="27" t="s">
        <v>49</v>
      </c>
      <c r="C19" s="45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85"/>
      <c r="AB19" s="202">
        <f t="shared" si="0"/>
        <v>0</v>
      </c>
      <c r="AC19" s="7"/>
      <c r="AD19" s="7"/>
    </row>
    <row r="20" spans="1:30" x14ac:dyDescent="0.25">
      <c r="A20" s="25"/>
      <c r="B20" s="1" t="s">
        <v>100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>
        <v>1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202">
        <f t="shared" ref="AB20" si="1">SUM(C20:AA20)</f>
        <v>1</v>
      </c>
      <c r="AC20" s="7"/>
      <c r="AD20" s="7"/>
    </row>
    <row r="21" spans="1:30" x14ac:dyDescent="0.25">
      <c r="A21" s="25"/>
      <c r="B21" s="1" t="s">
        <v>91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218">
        <f>SUM(C21:AA21)</f>
        <v>0</v>
      </c>
      <c r="AC21" s="7"/>
      <c r="AD21" s="7"/>
    </row>
    <row r="22" spans="1:30" x14ac:dyDescent="0.25">
      <c r="S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x14ac:dyDescent="0.25">
      <c r="B23" s="52" t="s">
        <v>101</v>
      </c>
      <c r="C23" s="51">
        <f>SUM(C4:C21)</f>
        <v>2</v>
      </c>
      <c r="D23" s="51">
        <f>SUM(D4:D21)</f>
        <v>1</v>
      </c>
      <c r="E23" s="51">
        <f t="shared" ref="E23:AA23" si="2">SUM(E4:E21)</f>
        <v>0</v>
      </c>
      <c r="F23" s="51">
        <f t="shared" si="2"/>
        <v>2</v>
      </c>
      <c r="G23" s="51">
        <f t="shared" si="2"/>
        <v>0</v>
      </c>
      <c r="H23" s="51">
        <f t="shared" si="2"/>
        <v>1</v>
      </c>
      <c r="I23" s="51">
        <f t="shared" si="2"/>
        <v>0</v>
      </c>
      <c r="J23" s="51">
        <f t="shared" si="2"/>
        <v>2</v>
      </c>
      <c r="K23" s="51">
        <f t="shared" si="2"/>
        <v>2</v>
      </c>
      <c r="L23" s="51">
        <f t="shared" si="2"/>
        <v>2</v>
      </c>
      <c r="M23" s="51">
        <f t="shared" si="2"/>
        <v>3</v>
      </c>
      <c r="N23" s="51">
        <f t="shared" si="2"/>
        <v>0</v>
      </c>
      <c r="O23" s="51">
        <f t="shared" si="2"/>
        <v>2</v>
      </c>
      <c r="P23" s="51">
        <f t="shared" si="2"/>
        <v>2</v>
      </c>
      <c r="Q23" s="51">
        <f t="shared" si="2"/>
        <v>5</v>
      </c>
      <c r="R23" s="51">
        <f t="shared" si="2"/>
        <v>2</v>
      </c>
      <c r="S23" s="51">
        <f t="shared" si="2"/>
        <v>0</v>
      </c>
      <c r="T23" s="51">
        <f t="shared" si="2"/>
        <v>0</v>
      </c>
      <c r="U23" s="51">
        <f>SUM(U4:U21)</f>
        <v>2</v>
      </c>
      <c r="V23" s="51">
        <f t="shared" si="2"/>
        <v>1</v>
      </c>
      <c r="W23" s="51">
        <f t="shared" si="2"/>
        <v>0</v>
      </c>
      <c r="X23" s="51">
        <f t="shared" si="2"/>
        <v>0</v>
      </c>
      <c r="Y23" s="51">
        <f t="shared" si="2"/>
        <v>0</v>
      </c>
      <c r="Z23" s="51">
        <f t="shared" si="2"/>
        <v>0</v>
      </c>
      <c r="AA23" s="51">
        <f t="shared" si="2"/>
        <v>0</v>
      </c>
      <c r="AB23" s="51">
        <f>SUM(AB4:AB21)</f>
        <v>29</v>
      </c>
      <c r="AC23" s="7"/>
      <c r="AD23" s="7"/>
    </row>
    <row r="24" spans="1:30" x14ac:dyDescent="0.25">
      <c r="B24" s="52" t="s">
        <v>102</v>
      </c>
      <c r="C24" s="51">
        <v>4</v>
      </c>
      <c r="D24" s="51">
        <v>1</v>
      </c>
      <c r="E24" s="51">
        <v>3</v>
      </c>
      <c r="F24" s="51">
        <v>3</v>
      </c>
      <c r="G24" s="51">
        <v>3</v>
      </c>
      <c r="H24" s="51">
        <v>2</v>
      </c>
      <c r="I24" s="51">
        <v>5</v>
      </c>
      <c r="J24" s="51">
        <v>0</v>
      </c>
      <c r="K24" s="51">
        <v>4</v>
      </c>
      <c r="L24" s="51">
        <v>4</v>
      </c>
      <c r="M24" s="51">
        <v>1</v>
      </c>
      <c r="N24" s="51">
        <v>2</v>
      </c>
      <c r="O24" s="51">
        <v>0</v>
      </c>
      <c r="P24" s="51">
        <v>0</v>
      </c>
      <c r="Q24" s="51">
        <v>0</v>
      </c>
      <c r="R24" s="51">
        <v>5</v>
      </c>
      <c r="S24" s="51">
        <v>0</v>
      </c>
      <c r="T24" s="51">
        <v>0</v>
      </c>
      <c r="U24" s="51">
        <v>4</v>
      </c>
      <c r="V24" s="51"/>
      <c r="W24" s="51"/>
      <c r="X24" s="51"/>
      <c r="Y24" s="51"/>
      <c r="Z24" s="51"/>
      <c r="AA24" s="51"/>
      <c r="AB24" s="51">
        <f>SUM(C24:AA24)</f>
        <v>41</v>
      </c>
      <c r="AC24" s="7"/>
      <c r="AD24" s="7"/>
    </row>
    <row r="26" spans="1:30" x14ac:dyDescent="0.25">
      <c r="AB26" s="220">
        <f>AB23-AB24</f>
        <v>-12</v>
      </c>
      <c r="AC26" s="53" t="s">
        <v>103</v>
      </c>
    </row>
  </sheetData>
  <sortState xmlns:xlrd2="http://schemas.microsoft.com/office/spreadsheetml/2017/richdata2" ref="B4:AB19">
    <sortCondition descending="1" ref="AB4:AB19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9"/>
  <sheetViews>
    <sheetView zoomScale="78" zoomScaleNormal="78" workbookViewId="0">
      <selection activeCell="B4" sqref="B4:B8"/>
    </sheetView>
  </sheetViews>
  <sheetFormatPr defaultColWidth="9.109375" defaultRowHeight="13.2" x14ac:dyDescent="0.25"/>
  <cols>
    <col min="2" max="2" width="27" customWidth="1"/>
    <col min="3" max="27" width="9.109375" customWidth="1"/>
  </cols>
  <sheetData>
    <row r="1" spans="1:29" ht="55.95" customHeight="1" x14ac:dyDescent="0.25">
      <c r="A1" s="25"/>
      <c r="B1" s="26"/>
      <c r="C1" s="58" t="s">
        <v>0</v>
      </c>
      <c r="D1" s="73" t="s">
        <v>1</v>
      </c>
      <c r="E1" s="58" t="s">
        <v>2</v>
      </c>
      <c r="F1" s="58" t="s">
        <v>3</v>
      </c>
      <c r="G1" s="254" t="s">
        <v>4</v>
      </c>
      <c r="H1" s="254" t="s">
        <v>5</v>
      </c>
      <c r="I1" s="254" t="s">
        <v>6</v>
      </c>
      <c r="J1" s="154" t="s">
        <v>7</v>
      </c>
      <c r="K1" s="254" t="s">
        <v>8</v>
      </c>
      <c r="L1" s="58" t="s">
        <v>0</v>
      </c>
      <c r="M1" s="154" t="s">
        <v>9</v>
      </c>
      <c r="N1" s="254" t="s">
        <v>10</v>
      </c>
      <c r="O1" s="154" t="s">
        <v>10</v>
      </c>
      <c r="P1" s="154" t="s">
        <v>7</v>
      </c>
      <c r="Q1" s="154" t="s">
        <v>11</v>
      </c>
      <c r="R1" s="254" t="s">
        <v>12</v>
      </c>
      <c r="S1" s="73" t="s">
        <v>13</v>
      </c>
      <c r="T1" s="73" t="s">
        <v>13</v>
      </c>
      <c r="U1" s="58" t="s">
        <v>0</v>
      </c>
      <c r="V1" s="73" t="s">
        <v>1</v>
      </c>
      <c r="W1" s="147"/>
      <c r="X1" s="147"/>
      <c r="Y1" s="147"/>
      <c r="Z1" s="147"/>
      <c r="AA1" s="147"/>
      <c r="AB1" s="5"/>
    </row>
    <row r="2" spans="1:29" ht="97.2" x14ac:dyDescent="0.25">
      <c r="A2" s="25"/>
      <c r="B2" s="1"/>
      <c r="C2" s="79" t="s">
        <v>14</v>
      </c>
      <c r="D2" s="80" t="s">
        <v>15</v>
      </c>
      <c r="E2" s="79" t="s">
        <v>16</v>
      </c>
      <c r="F2" s="80" t="s">
        <v>17</v>
      </c>
      <c r="G2" s="80" t="s">
        <v>18</v>
      </c>
      <c r="H2" s="79" t="s">
        <v>19</v>
      </c>
      <c r="I2" s="79" t="s">
        <v>20</v>
      </c>
      <c r="J2" s="80" t="s">
        <v>21</v>
      </c>
      <c r="K2" s="80" t="s">
        <v>22</v>
      </c>
      <c r="L2" s="79" t="s">
        <v>21</v>
      </c>
      <c r="M2" s="80" t="s">
        <v>23</v>
      </c>
      <c r="N2" s="80" t="s">
        <v>14</v>
      </c>
      <c r="O2" s="79" t="s">
        <v>15</v>
      </c>
      <c r="P2" s="80" t="s">
        <v>16</v>
      </c>
      <c r="Q2" s="79" t="s">
        <v>18</v>
      </c>
      <c r="R2" s="80" t="s">
        <v>19</v>
      </c>
      <c r="S2" s="80" t="s">
        <v>20</v>
      </c>
      <c r="T2" s="79" t="s">
        <v>17</v>
      </c>
      <c r="U2" s="79" t="s">
        <v>22</v>
      </c>
      <c r="V2" s="79" t="s">
        <v>23</v>
      </c>
      <c r="W2" s="79" t="s">
        <v>96</v>
      </c>
      <c r="X2" s="79" t="s">
        <v>97</v>
      </c>
      <c r="Y2" s="79" t="s">
        <v>98</v>
      </c>
      <c r="Z2" s="79" t="s">
        <v>99</v>
      </c>
      <c r="AA2" s="79"/>
    </row>
    <row r="3" spans="1:29" ht="43.8" x14ac:dyDescent="0.25">
      <c r="A3" s="25"/>
      <c r="B3" s="83" t="s">
        <v>39</v>
      </c>
      <c r="C3" s="75">
        <v>45899</v>
      </c>
      <c r="D3" s="75">
        <v>45906</v>
      </c>
      <c r="E3" s="75">
        <v>45548</v>
      </c>
      <c r="F3" s="75">
        <v>45555</v>
      </c>
      <c r="G3" s="75">
        <v>45934</v>
      </c>
      <c r="H3" s="75">
        <v>45941</v>
      </c>
      <c r="I3" s="75">
        <v>45948</v>
      </c>
      <c r="J3" s="75">
        <v>45955</v>
      </c>
      <c r="K3" s="75">
        <v>45969</v>
      </c>
      <c r="L3" s="75">
        <v>45976</v>
      </c>
      <c r="M3" s="75">
        <v>45983</v>
      </c>
      <c r="N3" s="75">
        <v>45990</v>
      </c>
      <c r="O3" s="75">
        <v>45997</v>
      </c>
      <c r="P3" s="75">
        <v>46004</v>
      </c>
      <c r="Q3" s="75">
        <v>46032</v>
      </c>
      <c r="R3" s="75">
        <v>46046</v>
      </c>
      <c r="S3" s="75">
        <v>46053</v>
      </c>
      <c r="T3" s="75">
        <v>46060</v>
      </c>
      <c r="U3" s="75">
        <v>46081</v>
      </c>
      <c r="V3" s="75">
        <v>45555</v>
      </c>
      <c r="W3" s="76"/>
      <c r="X3" s="76"/>
      <c r="Y3" s="76"/>
      <c r="Z3" s="76"/>
      <c r="AA3" s="76"/>
      <c r="AB3" s="5"/>
    </row>
    <row r="4" spans="1:29" x14ac:dyDescent="0.25">
      <c r="A4" s="25">
        <v>1</v>
      </c>
      <c r="B4" s="257" t="s">
        <v>54</v>
      </c>
      <c r="C4" s="81">
        <v>1</v>
      </c>
      <c r="D4" s="82">
        <v>1</v>
      </c>
      <c r="E4" s="82"/>
      <c r="F4" s="82"/>
      <c r="G4" s="82"/>
      <c r="H4" s="82"/>
      <c r="I4" s="82"/>
      <c r="J4" s="82">
        <v>1</v>
      </c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43"/>
      <c r="Z4" s="43"/>
      <c r="AA4" s="43"/>
      <c r="AB4" s="33">
        <f t="shared" ref="AB4:AB18" si="0">SUM(C4:AA4)</f>
        <v>3</v>
      </c>
      <c r="AC4" s="7"/>
    </row>
    <row r="5" spans="1:29" x14ac:dyDescent="0.25">
      <c r="A5" s="25">
        <v>2</v>
      </c>
      <c r="B5" s="8" t="s">
        <v>64</v>
      </c>
      <c r="C5" s="45">
        <v>1</v>
      </c>
      <c r="D5" s="43"/>
      <c r="E5" s="43"/>
      <c r="F5" s="43"/>
      <c r="G5" s="43"/>
      <c r="H5" s="43"/>
      <c r="I5" s="43"/>
      <c r="J5" s="282"/>
      <c r="K5" s="43"/>
      <c r="L5" s="43"/>
      <c r="M5" s="43">
        <v>1</v>
      </c>
      <c r="N5" s="43"/>
      <c r="O5" s="43">
        <v>1</v>
      </c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33">
        <f t="shared" si="0"/>
        <v>3</v>
      </c>
      <c r="AC5" s="7"/>
    </row>
    <row r="6" spans="1:29" x14ac:dyDescent="0.25">
      <c r="A6" s="25">
        <v>3</v>
      </c>
      <c r="B6" s="8" t="s">
        <v>67</v>
      </c>
      <c r="C6" s="45"/>
      <c r="D6" s="43"/>
      <c r="E6" s="43"/>
      <c r="F6" s="43"/>
      <c r="G6" s="43"/>
      <c r="H6" s="43">
        <v>1</v>
      </c>
      <c r="I6" s="43"/>
      <c r="J6" s="43"/>
      <c r="K6" s="43"/>
      <c r="L6" s="43"/>
      <c r="M6" s="43"/>
      <c r="N6" s="43"/>
      <c r="O6" s="43"/>
      <c r="P6" s="43"/>
      <c r="Q6" s="43">
        <v>1</v>
      </c>
      <c r="R6" s="43"/>
      <c r="S6" s="43"/>
      <c r="T6" s="43"/>
      <c r="U6" s="43"/>
      <c r="V6" s="43">
        <v>1</v>
      </c>
      <c r="W6" s="43"/>
      <c r="X6" s="43"/>
      <c r="Y6" s="43"/>
      <c r="Z6" s="43"/>
      <c r="AA6" s="43"/>
      <c r="AB6" s="33">
        <f t="shared" si="0"/>
        <v>3</v>
      </c>
      <c r="AC6" s="7"/>
    </row>
    <row r="7" spans="1:29" x14ac:dyDescent="0.25">
      <c r="A7" s="25">
        <v>4</v>
      </c>
      <c r="B7" s="27" t="s">
        <v>57</v>
      </c>
      <c r="C7" s="45"/>
      <c r="D7" s="43"/>
      <c r="E7" s="43"/>
      <c r="F7" s="43"/>
      <c r="G7" s="43"/>
      <c r="H7" s="43"/>
      <c r="I7" s="43"/>
      <c r="J7" s="43"/>
      <c r="K7" s="43"/>
      <c r="L7" s="43">
        <v>1</v>
      </c>
      <c r="M7" s="43">
        <v>1</v>
      </c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33">
        <f t="shared" si="0"/>
        <v>2</v>
      </c>
      <c r="AC7" s="7"/>
    </row>
    <row r="8" spans="1:29" x14ac:dyDescent="0.25">
      <c r="A8" s="25">
        <v>5</v>
      </c>
      <c r="B8" s="8" t="s">
        <v>61</v>
      </c>
      <c r="C8" s="45"/>
      <c r="D8" s="43"/>
      <c r="E8" s="43"/>
      <c r="F8" s="43"/>
      <c r="G8" s="43"/>
      <c r="H8" s="43"/>
      <c r="I8" s="43"/>
      <c r="J8" s="43"/>
      <c r="K8" s="43">
        <v>1</v>
      </c>
      <c r="L8" s="43"/>
      <c r="M8" s="43"/>
      <c r="N8" s="43"/>
      <c r="O8" s="43"/>
      <c r="P8" s="43"/>
      <c r="Q8" s="43">
        <v>1</v>
      </c>
      <c r="R8" s="43"/>
      <c r="S8" s="43"/>
      <c r="T8" s="43"/>
      <c r="U8" s="43"/>
      <c r="V8" s="43"/>
      <c r="W8" s="43"/>
      <c r="X8" s="43"/>
      <c r="Y8" s="43"/>
      <c r="Z8" s="43"/>
      <c r="AA8" s="43"/>
      <c r="AB8" s="33">
        <f t="shared" si="0"/>
        <v>2</v>
      </c>
      <c r="AC8" s="7"/>
    </row>
    <row r="9" spans="1:29" x14ac:dyDescent="0.25">
      <c r="A9" s="25">
        <v>6</v>
      </c>
      <c r="B9" s="27" t="s">
        <v>55</v>
      </c>
      <c r="C9" s="45"/>
      <c r="D9" s="43"/>
      <c r="E9" s="43"/>
      <c r="F9" s="43"/>
      <c r="G9" s="43"/>
      <c r="H9" s="43"/>
      <c r="I9" s="43"/>
      <c r="J9" s="43"/>
      <c r="K9" s="43">
        <v>1</v>
      </c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33">
        <f t="shared" si="0"/>
        <v>1</v>
      </c>
      <c r="AC9" s="7"/>
    </row>
    <row r="10" spans="1:29" x14ac:dyDescent="0.25">
      <c r="A10" s="25">
        <v>7</v>
      </c>
      <c r="B10" s="27" t="s">
        <v>60</v>
      </c>
      <c r="C10" s="45"/>
      <c r="D10" s="43"/>
      <c r="E10" s="43"/>
      <c r="F10" s="43"/>
      <c r="G10" s="43"/>
      <c r="H10" s="43"/>
      <c r="I10" s="43"/>
      <c r="J10" s="43"/>
      <c r="K10" s="43"/>
      <c r="L10" s="43">
        <v>1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33">
        <f t="shared" si="0"/>
        <v>1</v>
      </c>
      <c r="AC10" s="7"/>
    </row>
    <row r="11" spans="1:29" x14ac:dyDescent="0.25">
      <c r="A11" s="25">
        <v>8</v>
      </c>
      <c r="B11" s="27" t="s">
        <v>47</v>
      </c>
      <c r="C11" s="45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>
        <v>1</v>
      </c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33">
        <f t="shared" si="0"/>
        <v>1</v>
      </c>
      <c r="AC11" s="7"/>
    </row>
    <row r="12" spans="1:29" x14ac:dyDescent="0.25">
      <c r="A12" s="25">
        <v>9</v>
      </c>
      <c r="B12" s="8" t="s">
        <v>71</v>
      </c>
      <c r="C12" s="45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>
        <v>1</v>
      </c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33">
        <f t="shared" si="0"/>
        <v>1</v>
      </c>
      <c r="AC12" s="7"/>
    </row>
    <row r="13" spans="1:29" x14ac:dyDescent="0.25">
      <c r="A13" s="25">
        <v>10</v>
      </c>
      <c r="B13" s="27" t="s">
        <v>66</v>
      </c>
      <c r="C13" s="45"/>
      <c r="D13" s="43"/>
      <c r="E13" s="43"/>
      <c r="F13" s="43"/>
      <c r="G13" s="43"/>
      <c r="H13" s="43"/>
      <c r="I13" s="43"/>
      <c r="J13" s="51"/>
      <c r="K13" s="43"/>
      <c r="L13" s="43"/>
      <c r="M13" s="43"/>
      <c r="N13" s="43"/>
      <c r="O13" s="43"/>
      <c r="P13" s="43"/>
      <c r="Q13" s="43">
        <v>1</v>
      </c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33">
        <f t="shared" si="0"/>
        <v>1</v>
      </c>
      <c r="AC13" s="7"/>
    </row>
    <row r="14" spans="1:29" x14ac:dyDescent="0.25">
      <c r="A14" s="25">
        <v>11</v>
      </c>
      <c r="B14" s="27" t="s">
        <v>63</v>
      </c>
      <c r="C14" s="45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>
        <v>1</v>
      </c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33">
        <f t="shared" si="0"/>
        <v>1</v>
      </c>
      <c r="AC14" s="7"/>
    </row>
    <row r="15" spans="1:29" x14ac:dyDescent="0.25">
      <c r="A15" s="25">
        <v>12</v>
      </c>
      <c r="B15" s="27" t="s">
        <v>56</v>
      </c>
      <c r="C15" s="45"/>
      <c r="D15" s="43"/>
      <c r="E15" s="43"/>
      <c r="F15" s="43"/>
      <c r="G15" s="43"/>
      <c r="H15" s="43"/>
      <c r="I15" s="43"/>
      <c r="J15" s="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33">
        <f t="shared" si="0"/>
        <v>0</v>
      </c>
      <c r="AC15" s="7"/>
    </row>
    <row r="16" spans="1:29" x14ac:dyDescent="0.25">
      <c r="A16" s="25">
        <v>13</v>
      </c>
      <c r="B16" s="27" t="s">
        <v>59</v>
      </c>
      <c r="C16" s="45"/>
      <c r="D16" s="43"/>
      <c r="E16" s="43"/>
      <c r="F16" s="43"/>
      <c r="G16" s="43"/>
      <c r="H16" s="43"/>
      <c r="I16" s="43"/>
      <c r="J16" s="51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33">
        <f t="shared" si="0"/>
        <v>0</v>
      </c>
      <c r="AC16" s="7"/>
    </row>
    <row r="17" spans="1:29" x14ac:dyDescent="0.25">
      <c r="A17" s="25">
        <v>14</v>
      </c>
      <c r="B17" s="27" t="s">
        <v>58</v>
      </c>
      <c r="C17" s="45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33">
        <f t="shared" si="0"/>
        <v>0</v>
      </c>
      <c r="AC17" s="7"/>
    </row>
    <row r="18" spans="1:29" x14ac:dyDescent="0.25">
      <c r="A18" s="25">
        <v>15</v>
      </c>
      <c r="B18" s="8" t="s">
        <v>53</v>
      </c>
      <c r="C18" s="45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33">
        <f t="shared" si="0"/>
        <v>0</v>
      </c>
      <c r="AC18" s="7"/>
    </row>
    <row r="19" spans="1:29" x14ac:dyDescent="0.25">
      <c r="A19" s="25"/>
      <c r="B19" s="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255">
        <f>SUM(AB4:AB18)</f>
        <v>19</v>
      </c>
      <c r="AC19" s="7"/>
    </row>
  </sheetData>
  <sortState xmlns:xlrd2="http://schemas.microsoft.com/office/spreadsheetml/2017/richdata2" ref="B5:AB8">
    <sortCondition descending="1" ref="AB5:AB8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7"/>
  <sheetViews>
    <sheetView zoomScale="70" zoomScaleNormal="70" workbookViewId="0">
      <selection activeCell="C6" sqref="C6"/>
    </sheetView>
  </sheetViews>
  <sheetFormatPr defaultRowHeight="13.2" x14ac:dyDescent="0.25"/>
  <cols>
    <col min="2" max="2" width="23.109375" customWidth="1"/>
    <col min="3" max="3" width="8.88671875" customWidth="1"/>
    <col min="4" max="27" width="9.109375" bestFit="1" customWidth="1"/>
  </cols>
  <sheetData>
    <row r="1" spans="1:28" ht="63" customHeight="1" x14ac:dyDescent="0.25">
      <c r="A1" s="3"/>
      <c r="B1" s="4"/>
      <c r="C1" s="58" t="s">
        <v>0</v>
      </c>
      <c r="D1" s="73" t="s">
        <v>1</v>
      </c>
      <c r="E1" s="58" t="s">
        <v>2</v>
      </c>
      <c r="F1" s="58" t="s">
        <v>3</v>
      </c>
      <c r="G1" s="254" t="s">
        <v>4</v>
      </c>
      <c r="H1" s="254" t="s">
        <v>5</v>
      </c>
      <c r="I1" s="254" t="s">
        <v>6</v>
      </c>
      <c r="J1" s="154" t="s">
        <v>7</v>
      </c>
      <c r="K1" s="254" t="s">
        <v>8</v>
      </c>
      <c r="L1" s="58" t="s">
        <v>0</v>
      </c>
      <c r="M1" s="154" t="s">
        <v>9</v>
      </c>
      <c r="N1" s="254" t="s">
        <v>10</v>
      </c>
      <c r="O1" s="154" t="s">
        <v>10</v>
      </c>
      <c r="P1" s="154" t="s">
        <v>7</v>
      </c>
      <c r="Q1" s="154" t="s">
        <v>11</v>
      </c>
      <c r="R1" s="254" t="s">
        <v>12</v>
      </c>
      <c r="S1" s="73" t="s">
        <v>13</v>
      </c>
      <c r="T1" s="73" t="s">
        <v>13</v>
      </c>
      <c r="U1" s="58" t="s">
        <v>0</v>
      </c>
      <c r="V1" s="73" t="s">
        <v>1</v>
      </c>
      <c r="W1" s="147"/>
      <c r="X1" s="147"/>
      <c r="Y1" s="147"/>
      <c r="Z1" s="147"/>
      <c r="AA1" s="147"/>
      <c r="AB1" s="5"/>
    </row>
    <row r="2" spans="1:28" ht="97.8" x14ac:dyDescent="0.25">
      <c r="A2" s="3"/>
      <c r="B2" s="7"/>
      <c r="C2" s="79" t="s">
        <v>14</v>
      </c>
      <c r="D2" s="80" t="s">
        <v>15</v>
      </c>
      <c r="E2" s="79" t="s">
        <v>16</v>
      </c>
      <c r="F2" s="80" t="s">
        <v>17</v>
      </c>
      <c r="G2" s="80" t="s">
        <v>18</v>
      </c>
      <c r="H2" s="79" t="s">
        <v>19</v>
      </c>
      <c r="I2" s="79" t="s">
        <v>20</v>
      </c>
      <c r="J2" s="80" t="s">
        <v>21</v>
      </c>
      <c r="K2" s="80" t="s">
        <v>22</v>
      </c>
      <c r="L2" s="79" t="s">
        <v>21</v>
      </c>
      <c r="M2" s="80" t="s">
        <v>23</v>
      </c>
      <c r="N2" s="80" t="s">
        <v>14</v>
      </c>
      <c r="O2" s="79" t="s">
        <v>15</v>
      </c>
      <c r="P2" s="80" t="s">
        <v>16</v>
      </c>
      <c r="Q2" s="79" t="s">
        <v>18</v>
      </c>
      <c r="R2" s="80" t="s">
        <v>19</v>
      </c>
      <c r="S2" s="80" t="s">
        <v>20</v>
      </c>
      <c r="T2" s="79" t="s">
        <v>17</v>
      </c>
      <c r="U2" s="79" t="s">
        <v>22</v>
      </c>
      <c r="V2" s="79" t="s">
        <v>23</v>
      </c>
      <c r="W2" s="79" t="s">
        <v>96</v>
      </c>
      <c r="X2" s="79" t="s">
        <v>97</v>
      </c>
      <c r="Y2" s="79" t="s">
        <v>98</v>
      </c>
      <c r="Z2" s="79" t="s">
        <v>99</v>
      </c>
      <c r="AA2" s="79"/>
    </row>
    <row r="3" spans="1:28" ht="49.95" customHeight="1" x14ac:dyDescent="0.25">
      <c r="A3" s="3"/>
      <c r="B3" s="46" t="s">
        <v>39</v>
      </c>
      <c r="C3" s="75">
        <v>45899</v>
      </c>
      <c r="D3" s="75">
        <v>45906</v>
      </c>
      <c r="E3" s="75">
        <v>45548</v>
      </c>
      <c r="F3" s="75">
        <v>45555</v>
      </c>
      <c r="G3" s="75">
        <v>45934</v>
      </c>
      <c r="H3" s="75">
        <v>45941</v>
      </c>
      <c r="I3" s="75">
        <v>45948</v>
      </c>
      <c r="J3" s="75">
        <v>45955</v>
      </c>
      <c r="K3" s="75">
        <v>45969</v>
      </c>
      <c r="L3" s="75">
        <v>45976</v>
      </c>
      <c r="M3" s="75">
        <v>45983</v>
      </c>
      <c r="N3" s="75">
        <v>45990</v>
      </c>
      <c r="O3" s="75">
        <v>45997</v>
      </c>
      <c r="P3" s="75">
        <v>46004</v>
      </c>
      <c r="Q3" s="75">
        <v>46032</v>
      </c>
      <c r="R3" s="75">
        <v>46046</v>
      </c>
      <c r="S3" s="75">
        <v>46053</v>
      </c>
      <c r="T3" s="75">
        <v>46060</v>
      </c>
      <c r="U3" s="75">
        <v>46081</v>
      </c>
      <c r="V3" s="75">
        <v>45555</v>
      </c>
      <c r="W3" s="76"/>
      <c r="X3" s="76"/>
      <c r="Y3" s="76"/>
      <c r="Z3" s="76"/>
      <c r="AA3" s="76"/>
      <c r="AB3" s="5"/>
    </row>
    <row r="4" spans="1:28" x14ac:dyDescent="0.25">
      <c r="A4" s="3">
        <v>1</v>
      </c>
      <c r="B4" s="8" t="s">
        <v>60</v>
      </c>
      <c r="C4" s="45"/>
      <c r="D4" s="43"/>
      <c r="E4" s="43"/>
      <c r="F4" s="43">
        <v>1</v>
      </c>
      <c r="G4" s="43"/>
      <c r="H4" s="43"/>
      <c r="I4" s="43"/>
      <c r="J4" s="43">
        <v>1</v>
      </c>
      <c r="K4" s="43"/>
      <c r="L4" s="43"/>
      <c r="M4" s="43">
        <v>1</v>
      </c>
      <c r="N4" s="43"/>
      <c r="O4" s="43"/>
      <c r="P4" s="43"/>
      <c r="Q4" s="43"/>
      <c r="R4" s="43"/>
      <c r="S4" s="43">
        <v>1</v>
      </c>
      <c r="T4" s="43"/>
      <c r="U4" s="43"/>
      <c r="V4" s="43"/>
      <c r="W4" s="43"/>
      <c r="X4" s="43"/>
      <c r="Y4" s="43"/>
      <c r="Z4" s="43"/>
      <c r="AA4" s="85"/>
      <c r="AB4" s="204">
        <f t="shared" ref="AB4:AB24" si="0">SUM(C4:AA4)</f>
        <v>4</v>
      </c>
    </row>
    <row r="5" spans="1:28" x14ac:dyDescent="0.25">
      <c r="A5" s="3">
        <v>2</v>
      </c>
      <c r="B5" s="8" t="s">
        <v>57</v>
      </c>
      <c r="C5" s="45"/>
      <c r="D5" s="43"/>
      <c r="E5" s="43"/>
      <c r="F5" s="43">
        <v>1</v>
      </c>
      <c r="G5" s="43"/>
      <c r="H5" s="43"/>
      <c r="I5" s="43"/>
      <c r="J5" s="43"/>
      <c r="K5" s="43"/>
      <c r="L5" s="43">
        <v>1</v>
      </c>
      <c r="M5" s="43"/>
      <c r="N5" s="43"/>
      <c r="O5" s="43">
        <v>1</v>
      </c>
      <c r="P5" s="43"/>
      <c r="Q5" s="43"/>
      <c r="R5" s="43"/>
      <c r="S5" s="43">
        <v>1</v>
      </c>
      <c r="T5" s="43"/>
      <c r="U5" s="43"/>
      <c r="V5" s="43"/>
      <c r="W5" s="43"/>
      <c r="X5" s="43"/>
      <c r="Y5" s="43"/>
      <c r="Z5" s="43"/>
      <c r="AA5" s="85"/>
      <c r="AB5" s="205">
        <f t="shared" si="0"/>
        <v>4</v>
      </c>
    </row>
    <row r="6" spans="1:28" x14ac:dyDescent="0.25">
      <c r="A6" s="3">
        <v>3</v>
      </c>
      <c r="B6" s="8" t="s">
        <v>62</v>
      </c>
      <c r="C6" s="45"/>
      <c r="D6" s="43"/>
      <c r="E6" s="43"/>
      <c r="F6" s="43">
        <v>1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>
        <v>1</v>
      </c>
      <c r="U6" s="43"/>
      <c r="V6" s="43">
        <v>1</v>
      </c>
      <c r="W6" s="43"/>
      <c r="X6" s="43"/>
      <c r="Y6" s="43"/>
      <c r="Z6" s="43"/>
      <c r="AA6" s="85"/>
      <c r="AB6" s="205">
        <f t="shared" si="0"/>
        <v>3</v>
      </c>
    </row>
    <row r="7" spans="1:28" x14ac:dyDescent="0.25">
      <c r="A7" s="3">
        <v>4</v>
      </c>
      <c r="B7" s="8" t="s">
        <v>55</v>
      </c>
      <c r="C7" s="45"/>
      <c r="D7" s="43"/>
      <c r="E7" s="43"/>
      <c r="F7" s="43"/>
      <c r="G7" s="43"/>
      <c r="H7" s="43"/>
      <c r="I7" s="43"/>
      <c r="J7" s="43"/>
      <c r="K7" s="43">
        <v>1</v>
      </c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85"/>
      <c r="AB7" s="205">
        <f t="shared" si="0"/>
        <v>1</v>
      </c>
    </row>
    <row r="8" spans="1:28" x14ac:dyDescent="0.25">
      <c r="A8" s="3">
        <v>5</v>
      </c>
      <c r="B8" s="8" t="s">
        <v>80</v>
      </c>
      <c r="C8" s="45"/>
      <c r="D8" s="43"/>
      <c r="E8" s="43"/>
      <c r="F8" s="43"/>
      <c r="G8" s="43"/>
      <c r="H8" s="43"/>
      <c r="I8" s="43"/>
      <c r="J8" s="43">
        <v>1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85"/>
      <c r="AB8" s="205">
        <f t="shared" si="0"/>
        <v>1</v>
      </c>
    </row>
    <row r="9" spans="1:28" x14ac:dyDescent="0.25">
      <c r="A9" s="3">
        <v>6</v>
      </c>
      <c r="B9" s="8" t="s">
        <v>68</v>
      </c>
      <c r="C9" s="45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>
        <v>1</v>
      </c>
      <c r="Q9" s="43"/>
      <c r="R9" s="43"/>
      <c r="S9" s="43"/>
      <c r="T9" s="43"/>
      <c r="U9" s="43"/>
      <c r="V9" s="43"/>
      <c r="W9" s="43"/>
      <c r="X9" s="43"/>
      <c r="Y9" s="43"/>
      <c r="Z9" s="43"/>
      <c r="AA9" s="85"/>
      <c r="AB9" s="205">
        <f t="shared" si="0"/>
        <v>1</v>
      </c>
    </row>
    <row r="10" spans="1:28" x14ac:dyDescent="0.25">
      <c r="A10" s="3">
        <v>7</v>
      </c>
      <c r="B10" s="8" t="s">
        <v>67</v>
      </c>
      <c r="C10" s="45"/>
      <c r="D10" s="45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>
        <v>1</v>
      </c>
      <c r="T10" s="43"/>
      <c r="U10" s="43"/>
      <c r="V10" s="43"/>
      <c r="W10" s="43"/>
      <c r="X10" s="43"/>
      <c r="Y10" s="43"/>
      <c r="Z10" s="43"/>
      <c r="AA10" s="85"/>
      <c r="AB10" s="205">
        <f t="shared" si="0"/>
        <v>1</v>
      </c>
    </row>
    <row r="11" spans="1:28" x14ac:dyDescent="0.25">
      <c r="A11" s="3">
        <v>8</v>
      </c>
      <c r="B11" s="8" t="s">
        <v>51</v>
      </c>
      <c r="C11" s="45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>
        <v>1</v>
      </c>
      <c r="U11" s="43"/>
      <c r="V11" s="43"/>
      <c r="W11" s="43"/>
      <c r="X11" s="43"/>
      <c r="Y11" s="43"/>
      <c r="Z11" s="43"/>
      <c r="AA11" s="85"/>
      <c r="AB11" s="205">
        <f t="shared" si="0"/>
        <v>1</v>
      </c>
    </row>
    <row r="12" spans="1:28" x14ac:dyDescent="0.25">
      <c r="A12" s="3">
        <v>9</v>
      </c>
      <c r="B12" s="8" t="s">
        <v>65</v>
      </c>
      <c r="C12" s="45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85"/>
      <c r="AB12" s="205">
        <f t="shared" si="0"/>
        <v>0</v>
      </c>
    </row>
    <row r="13" spans="1:28" x14ac:dyDescent="0.25">
      <c r="A13" s="3">
        <v>10</v>
      </c>
      <c r="B13" s="8" t="s">
        <v>54</v>
      </c>
      <c r="C13" s="45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85"/>
      <c r="AB13" s="205">
        <f t="shared" si="0"/>
        <v>0</v>
      </c>
    </row>
    <row r="14" spans="1:28" x14ac:dyDescent="0.25">
      <c r="A14" s="3">
        <v>11</v>
      </c>
      <c r="B14" s="8" t="s">
        <v>72</v>
      </c>
      <c r="C14" s="45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85"/>
      <c r="AB14" s="205">
        <f t="shared" si="0"/>
        <v>0</v>
      </c>
    </row>
    <row r="15" spans="1:28" x14ac:dyDescent="0.25">
      <c r="A15" s="3">
        <v>12</v>
      </c>
      <c r="B15" s="8" t="s">
        <v>81</v>
      </c>
      <c r="C15" s="248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85"/>
      <c r="AB15" s="205">
        <f t="shared" si="0"/>
        <v>0</v>
      </c>
    </row>
    <row r="16" spans="1:28" x14ac:dyDescent="0.25">
      <c r="A16" s="3">
        <v>13</v>
      </c>
      <c r="B16" s="8" t="s">
        <v>61</v>
      </c>
      <c r="C16" s="45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85"/>
      <c r="AB16" s="205">
        <f t="shared" si="0"/>
        <v>0</v>
      </c>
    </row>
    <row r="17" spans="1:28" x14ac:dyDescent="0.25">
      <c r="A17" s="3">
        <v>14</v>
      </c>
      <c r="B17" s="8" t="s">
        <v>56</v>
      </c>
      <c r="C17" s="45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85"/>
      <c r="AB17" s="205">
        <f t="shared" si="0"/>
        <v>0</v>
      </c>
    </row>
    <row r="18" spans="1:28" x14ac:dyDescent="0.25">
      <c r="A18" s="3">
        <v>15</v>
      </c>
      <c r="B18" s="8" t="s">
        <v>49</v>
      </c>
      <c r="C18" s="45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85"/>
      <c r="AB18" s="205">
        <f t="shared" si="0"/>
        <v>0</v>
      </c>
    </row>
    <row r="19" spans="1:28" x14ac:dyDescent="0.25">
      <c r="A19" s="3">
        <v>16</v>
      </c>
      <c r="B19" s="8" t="s">
        <v>59</v>
      </c>
      <c r="C19" s="45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85"/>
      <c r="AB19" s="205">
        <f t="shared" si="0"/>
        <v>0</v>
      </c>
    </row>
    <row r="20" spans="1:28" x14ac:dyDescent="0.25">
      <c r="A20" s="3">
        <v>17</v>
      </c>
      <c r="B20" s="8" t="s">
        <v>53</v>
      </c>
      <c r="C20" s="45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85"/>
      <c r="AB20" s="205">
        <f t="shared" si="0"/>
        <v>0</v>
      </c>
    </row>
    <row r="21" spans="1:28" x14ac:dyDescent="0.25">
      <c r="A21" s="3">
        <v>18</v>
      </c>
      <c r="B21" s="8" t="s">
        <v>64</v>
      </c>
      <c r="C21" s="45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85"/>
      <c r="AB21" s="205">
        <f t="shared" si="0"/>
        <v>0</v>
      </c>
    </row>
    <row r="22" spans="1:28" x14ac:dyDescent="0.25">
      <c r="A22" s="3">
        <v>19</v>
      </c>
      <c r="B22" s="8" t="s">
        <v>73</v>
      </c>
      <c r="C22" s="45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85"/>
      <c r="AB22" s="205">
        <f t="shared" si="0"/>
        <v>0</v>
      </c>
    </row>
    <row r="23" spans="1:28" x14ac:dyDescent="0.25">
      <c r="A23" s="3">
        <v>20</v>
      </c>
      <c r="B23" s="8" t="s">
        <v>77</v>
      </c>
      <c r="C23" s="45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85"/>
      <c r="AB23" s="243">
        <f t="shared" si="0"/>
        <v>0</v>
      </c>
    </row>
    <row r="24" spans="1:28" ht="13.8" thickBot="1" x14ac:dyDescent="0.3">
      <c r="A24" s="3">
        <v>21</v>
      </c>
      <c r="B24" s="241" t="s">
        <v>70</v>
      </c>
      <c r="C24" s="249"/>
      <c r="D24" s="242"/>
      <c r="E24" s="242"/>
      <c r="F24" s="242"/>
      <c r="G24" s="242"/>
      <c r="H24" s="242"/>
      <c r="I24" s="242"/>
      <c r="J24" s="242"/>
      <c r="K24" s="242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39"/>
      <c r="Y24" s="242"/>
      <c r="Z24" s="242"/>
      <c r="AA24" s="239"/>
      <c r="AB24" s="240">
        <f t="shared" si="0"/>
        <v>0</v>
      </c>
    </row>
    <row r="25" spans="1:28" ht="13.8" thickBot="1" x14ac:dyDescent="0.3">
      <c r="A25" s="3"/>
      <c r="B25" s="7"/>
      <c r="C25" s="239"/>
      <c r="D25" s="239"/>
      <c r="E25" s="239"/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39"/>
      <c r="AA25" s="239"/>
      <c r="AB25" s="24"/>
    </row>
    <row r="26" spans="1:28" ht="13.8" thickBot="1" x14ac:dyDescent="0.3">
      <c r="A26" s="3"/>
      <c r="B26" s="7"/>
      <c r="C26" s="203">
        <f>SUM(C4:C24)</f>
        <v>0</v>
      </c>
      <c r="D26" s="203">
        <f>SUM(D4:D24)</f>
        <v>0</v>
      </c>
      <c r="E26" s="203">
        <f t="shared" ref="E26:AA26" si="1">SUM(E4:E24)</f>
        <v>0</v>
      </c>
      <c r="F26" s="203">
        <f t="shared" si="1"/>
        <v>3</v>
      </c>
      <c r="G26" s="203">
        <f t="shared" si="1"/>
        <v>0</v>
      </c>
      <c r="H26" s="203">
        <f t="shared" si="1"/>
        <v>0</v>
      </c>
      <c r="I26" s="203">
        <f t="shared" si="1"/>
        <v>0</v>
      </c>
      <c r="J26" s="203">
        <f t="shared" si="1"/>
        <v>2</v>
      </c>
      <c r="K26" s="203">
        <f t="shared" si="1"/>
        <v>1</v>
      </c>
      <c r="L26" s="203">
        <f t="shared" si="1"/>
        <v>1</v>
      </c>
      <c r="M26" s="203">
        <f t="shared" si="1"/>
        <v>1</v>
      </c>
      <c r="N26" s="203">
        <f t="shared" si="1"/>
        <v>0</v>
      </c>
      <c r="O26" s="203">
        <f t="shared" si="1"/>
        <v>1</v>
      </c>
      <c r="P26" s="203">
        <f t="shared" si="1"/>
        <v>1</v>
      </c>
      <c r="Q26" s="203">
        <f t="shared" si="1"/>
        <v>0</v>
      </c>
      <c r="R26" s="203">
        <f t="shared" si="1"/>
        <v>0</v>
      </c>
      <c r="S26" s="203">
        <f t="shared" si="1"/>
        <v>3</v>
      </c>
      <c r="T26" s="203">
        <f t="shared" si="1"/>
        <v>2</v>
      </c>
      <c r="U26" s="203">
        <f>SUM(U4:U24)</f>
        <v>0</v>
      </c>
      <c r="V26" s="203">
        <f t="shared" si="1"/>
        <v>1</v>
      </c>
      <c r="W26" s="203">
        <f t="shared" si="1"/>
        <v>0</v>
      </c>
      <c r="X26" s="203">
        <f t="shared" si="1"/>
        <v>0</v>
      </c>
      <c r="Y26" s="203">
        <f t="shared" si="1"/>
        <v>0</v>
      </c>
      <c r="Z26" s="203">
        <f t="shared" si="1"/>
        <v>0</v>
      </c>
      <c r="AA26" s="203">
        <f t="shared" si="1"/>
        <v>0</v>
      </c>
      <c r="AB26" s="24">
        <f>SUM(C26:AA26)</f>
        <v>16</v>
      </c>
    </row>
    <row r="27" spans="1:28" x14ac:dyDescent="0.25">
      <c r="A27" s="7"/>
      <c r="B27" s="7"/>
      <c r="C27" s="7"/>
      <c r="D27" s="7"/>
      <c r="E27" s="7"/>
      <c r="F27" s="7"/>
      <c r="G27" s="7"/>
      <c r="H27" s="1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</sheetData>
  <sortState xmlns:xlrd2="http://schemas.microsoft.com/office/spreadsheetml/2017/richdata2" ref="B11:AB12">
    <sortCondition descending="1" ref="AB11:AB12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031ED-11A6-4F13-8879-354A3AB6C6F5}">
  <dimension ref="A1:AB21"/>
  <sheetViews>
    <sheetView topLeftCell="J2" zoomScale="70" zoomScaleNormal="70" workbookViewId="0">
      <selection activeCell="AB18" sqref="B16:AB18"/>
    </sheetView>
  </sheetViews>
  <sheetFormatPr defaultRowHeight="13.2" x14ac:dyDescent="0.25"/>
  <cols>
    <col min="2" max="2" width="23" customWidth="1"/>
    <col min="3" max="28" width="9.109375" customWidth="1"/>
  </cols>
  <sheetData>
    <row r="1" spans="1:28" ht="64.2" customHeight="1" x14ac:dyDescent="0.25">
      <c r="A1" s="25"/>
      <c r="B1" s="26"/>
      <c r="C1" s="58" t="s">
        <v>0</v>
      </c>
      <c r="D1" s="73" t="s">
        <v>1</v>
      </c>
      <c r="E1" s="58" t="s">
        <v>2</v>
      </c>
      <c r="F1" s="58" t="s">
        <v>3</v>
      </c>
      <c r="G1" s="254" t="s">
        <v>4</v>
      </c>
      <c r="H1" s="254" t="s">
        <v>5</v>
      </c>
      <c r="I1" s="254" t="s">
        <v>6</v>
      </c>
      <c r="J1" s="154" t="s">
        <v>7</v>
      </c>
      <c r="K1" s="254" t="s">
        <v>8</v>
      </c>
      <c r="L1" s="58" t="s">
        <v>0</v>
      </c>
      <c r="M1" s="154" t="s">
        <v>9</v>
      </c>
      <c r="N1" s="254" t="s">
        <v>10</v>
      </c>
      <c r="O1" s="154" t="s">
        <v>10</v>
      </c>
      <c r="P1" s="154" t="s">
        <v>7</v>
      </c>
      <c r="Q1" s="154" t="s">
        <v>11</v>
      </c>
      <c r="R1" s="254" t="s">
        <v>12</v>
      </c>
      <c r="S1" s="73" t="s">
        <v>13</v>
      </c>
      <c r="T1" s="73" t="s">
        <v>13</v>
      </c>
      <c r="U1" s="58" t="s">
        <v>0</v>
      </c>
      <c r="V1" s="73" t="s">
        <v>1</v>
      </c>
      <c r="W1" s="147"/>
      <c r="X1" s="147"/>
      <c r="Y1" s="147"/>
      <c r="Z1" s="147"/>
      <c r="AA1" s="147"/>
      <c r="AB1" s="5"/>
    </row>
    <row r="2" spans="1:28" ht="97.8" x14ac:dyDescent="0.25">
      <c r="A2" s="25"/>
      <c r="B2" s="1"/>
      <c r="C2" s="79" t="s">
        <v>14</v>
      </c>
      <c r="D2" s="80" t="s">
        <v>15</v>
      </c>
      <c r="E2" s="79" t="s">
        <v>16</v>
      </c>
      <c r="F2" s="80" t="s">
        <v>17</v>
      </c>
      <c r="G2" s="80" t="s">
        <v>18</v>
      </c>
      <c r="H2" s="79" t="s">
        <v>19</v>
      </c>
      <c r="I2" s="79" t="s">
        <v>20</v>
      </c>
      <c r="J2" s="80" t="s">
        <v>21</v>
      </c>
      <c r="K2" s="80" t="s">
        <v>22</v>
      </c>
      <c r="L2" s="79" t="s">
        <v>21</v>
      </c>
      <c r="M2" s="80" t="s">
        <v>23</v>
      </c>
      <c r="N2" s="80" t="s">
        <v>14</v>
      </c>
      <c r="O2" s="79" t="s">
        <v>15</v>
      </c>
      <c r="P2" s="80" t="s">
        <v>16</v>
      </c>
      <c r="Q2" s="79" t="s">
        <v>18</v>
      </c>
      <c r="R2" s="80" t="s">
        <v>19</v>
      </c>
      <c r="S2" s="80" t="s">
        <v>20</v>
      </c>
      <c r="T2" s="79" t="s">
        <v>17</v>
      </c>
      <c r="U2" s="79" t="s">
        <v>22</v>
      </c>
      <c r="V2" s="79" t="s">
        <v>23</v>
      </c>
      <c r="W2" s="79" t="s">
        <v>96</v>
      </c>
      <c r="X2" s="79" t="s">
        <v>97</v>
      </c>
      <c r="Y2" s="79" t="s">
        <v>98</v>
      </c>
      <c r="Z2" s="79" t="s">
        <v>99</v>
      </c>
      <c r="AA2" s="79"/>
    </row>
    <row r="3" spans="1:28" ht="51.6" customHeight="1" x14ac:dyDescent="0.25">
      <c r="A3" s="25"/>
      <c r="B3" s="83" t="s">
        <v>39</v>
      </c>
      <c r="C3" s="75">
        <v>45899</v>
      </c>
      <c r="D3" s="75">
        <v>45906</v>
      </c>
      <c r="E3" s="75">
        <v>45548</v>
      </c>
      <c r="F3" s="75">
        <v>45555</v>
      </c>
      <c r="G3" s="75">
        <v>45934</v>
      </c>
      <c r="H3" s="75">
        <v>45941</v>
      </c>
      <c r="I3" s="75">
        <v>45948</v>
      </c>
      <c r="J3" s="75">
        <v>45955</v>
      </c>
      <c r="K3" s="75">
        <v>45969</v>
      </c>
      <c r="L3" s="75">
        <v>45976</v>
      </c>
      <c r="M3" s="75">
        <v>45983</v>
      </c>
      <c r="N3" s="75">
        <v>45990</v>
      </c>
      <c r="O3" s="75">
        <v>45997</v>
      </c>
      <c r="P3" s="75">
        <v>46004</v>
      </c>
      <c r="Q3" s="75">
        <v>46032</v>
      </c>
      <c r="R3" s="75">
        <v>46046</v>
      </c>
      <c r="S3" s="75">
        <v>46053</v>
      </c>
      <c r="T3" s="75">
        <v>46060</v>
      </c>
      <c r="U3" s="75">
        <v>46081</v>
      </c>
      <c r="V3" s="75">
        <v>45555</v>
      </c>
      <c r="W3" s="76"/>
      <c r="X3" s="76"/>
      <c r="Y3" s="76"/>
      <c r="Z3" s="76"/>
      <c r="AA3" s="76"/>
      <c r="AB3" s="5"/>
    </row>
    <row r="4" spans="1:28" x14ac:dyDescent="0.25">
      <c r="A4" s="25">
        <v>1</v>
      </c>
      <c r="B4" s="153" t="s">
        <v>47</v>
      </c>
      <c r="C4" s="81"/>
      <c r="D4" s="82">
        <v>1</v>
      </c>
      <c r="E4" s="82"/>
      <c r="F4" s="82"/>
      <c r="G4" s="82"/>
      <c r="H4" s="82"/>
      <c r="I4" s="82"/>
      <c r="J4" s="82"/>
      <c r="K4" s="284"/>
      <c r="L4" s="82">
        <v>1</v>
      </c>
      <c r="M4" s="82"/>
      <c r="N4" s="82"/>
      <c r="O4" s="82"/>
      <c r="P4" s="82"/>
      <c r="Q4" s="82"/>
      <c r="R4" s="82"/>
      <c r="S4" s="82"/>
      <c r="T4" s="82"/>
      <c r="U4" s="82">
        <v>1</v>
      </c>
      <c r="V4" s="82"/>
      <c r="W4" s="82"/>
      <c r="X4" s="82"/>
      <c r="Y4" s="43"/>
      <c r="Z4" s="43"/>
      <c r="AA4" s="43"/>
      <c r="AB4" s="33">
        <f t="shared" ref="AB4:AB21" si="0">SUM(C4:AA4)</f>
        <v>3</v>
      </c>
    </row>
    <row r="5" spans="1:28" x14ac:dyDescent="0.25">
      <c r="A5" s="25">
        <v>2</v>
      </c>
      <c r="B5" s="8" t="s">
        <v>66</v>
      </c>
      <c r="C5" s="45"/>
      <c r="D5" s="43"/>
      <c r="E5" s="43"/>
      <c r="F5" s="43"/>
      <c r="G5" s="43"/>
      <c r="H5" s="43">
        <v>1</v>
      </c>
      <c r="I5" s="43"/>
      <c r="J5" s="43"/>
      <c r="K5" s="43">
        <v>1</v>
      </c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33">
        <f t="shared" si="0"/>
        <v>2</v>
      </c>
    </row>
    <row r="6" spans="1:28" x14ac:dyDescent="0.25">
      <c r="A6" s="25">
        <v>3</v>
      </c>
      <c r="B6" s="27" t="s">
        <v>60</v>
      </c>
      <c r="C6" s="45">
        <v>1</v>
      </c>
      <c r="D6" s="43"/>
      <c r="E6" s="43"/>
      <c r="F6" s="43"/>
      <c r="G6" s="43"/>
      <c r="H6" s="43"/>
      <c r="I6" s="43">
        <v>1</v>
      </c>
      <c r="J6" s="43"/>
      <c r="K6" s="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33">
        <f t="shared" si="0"/>
        <v>2</v>
      </c>
    </row>
    <row r="7" spans="1:28" x14ac:dyDescent="0.25">
      <c r="A7" s="25">
        <v>4</v>
      </c>
      <c r="B7" s="27" t="s">
        <v>67</v>
      </c>
      <c r="C7" s="45"/>
      <c r="D7" s="43"/>
      <c r="E7" s="43"/>
      <c r="F7" s="43">
        <v>1</v>
      </c>
      <c r="G7" s="43"/>
      <c r="H7" s="43"/>
      <c r="I7" s="43"/>
      <c r="J7" s="43"/>
      <c r="K7" s="43"/>
      <c r="M7" s="43">
        <v>1</v>
      </c>
      <c r="N7" s="43"/>
      <c r="O7" s="51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33">
        <f t="shared" si="0"/>
        <v>2</v>
      </c>
    </row>
    <row r="8" spans="1:28" x14ac:dyDescent="0.25">
      <c r="A8" s="25">
        <v>5</v>
      </c>
      <c r="B8" s="27" t="s">
        <v>68</v>
      </c>
      <c r="C8" s="45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>
        <v>1</v>
      </c>
      <c r="P8" s="43">
        <v>1</v>
      </c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33">
        <f t="shared" si="0"/>
        <v>2</v>
      </c>
    </row>
    <row r="9" spans="1:28" x14ac:dyDescent="0.25">
      <c r="A9" s="25">
        <v>6</v>
      </c>
      <c r="B9" s="8" t="s">
        <v>104</v>
      </c>
      <c r="C9" s="45"/>
      <c r="D9" s="43"/>
      <c r="E9" s="43">
        <v>1</v>
      </c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>
        <v>1</v>
      </c>
      <c r="R9" s="43"/>
      <c r="S9" s="43"/>
      <c r="T9" s="43"/>
      <c r="U9" s="43"/>
      <c r="V9" s="43"/>
      <c r="W9" s="43"/>
      <c r="X9" s="43"/>
      <c r="Y9" s="43"/>
      <c r="Z9" s="43"/>
      <c r="AA9" s="43"/>
      <c r="AB9" s="33">
        <f t="shared" si="0"/>
        <v>2</v>
      </c>
    </row>
    <row r="10" spans="1:28" x14ac:dyDescent="0.25">
      <c r="A10" s="25">
        <v>7</v>
      </c>
      <c r="B10" s="27" t="s">
        <v>73</v>
      </c>
      <c r="C10" s="45"/>
      <c r="D10" s="43"/>
      <c r="E10" s="43"/>
      <c r="F10" s="43"/>
      <c r="G10" s="43">
        <v>1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>
        <v>1</v>
      </c>
      <c r="T10" s="43"/>
      <c r="U10" s="43"/>
      <c r="V10" s="43"/>
      <c r="W10" s="43"/>
      <c r="X10" s="43"/>
      <c r="Y10" s="43"/>
      <c r="Z10" s="43"/>
      <c r="AA10" s="43"/>
      <c r="AB10" s="33">
        <f t="shared" si="0"/>
        <v>2</v>
      </c>
    </row>
    <row r="11" spans="1:28" x14ac:dyDescent="0.25">
      <c r="A11" s="25">
        <v>8</v>
      </c>
      <c r="B11" s="8" t="s">
        <v>70</v>
      </c>
      <c r="C11" s="45"/>
      <c r="D11" s="43"/>
      <c r="E11" s="43"/>
      <c r="F11" s="43"/>
      <c r="G11" s="43"/>
      <c r="H11" s="43"/>
      <c r="I11" s="43"/>
      <c r="J11" s="43">
        <v>1</v>
      </c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33">
        <f t="shared" si="0"/>
        <v>1</v>
      </c>
    </row>
    <row r="12" spans="1:28" x14ac:dyDescent="0.25">
      <c r="A12" s="25">
        <v>9</v>
      </c>
      <c r="B12" s="27" t="s">
        <v>55</v>
      </c>
      <c r="C12" s="45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>
        <v>1</v>
      </c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33">
        <f t="shared" si="0"/>
        <v>1</v>
      </c>
    </row>
    <row r="13" spans="1:28" x14ac:dyDescent="0.25">
      <c r="A13" s="25">
        <v>10</v>
      </c>
      <c r="B13" s="27" t="s">
        <v>59</v>
      </c>
      <c r="C13" s="45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3">
        <v>1</v>
      </c>
      <c r="P13" s="43"/>
      <c r="Q13" s="43"/>
      <c r="R13" s="43"/>
      <c r="S13" s="43"/>
      <c r="T13" s="43">
        <v>1</v>
      </c>
      <c r="U13" s="43"/>
      <c r="V13" s="43"/>
      <c r="W13" s="43"/>
      <c r="X13" s="43"/>
      <c r="Y13" s="43"/>
      <c r="Z13" s="43"/>
      <c r="AA13" s="43"/>
      <c r="AB13" s="33">
        <f t="shared" si="0"/>
        <v>2</v>
      </c>
    </row>
    <row r="14" spans="1:28" x14ac:dyDescent="0.25">
      <c r="A14" s="25">
        <v>11</v>
      </c>
      <c r="B14" s="27" t="s">
        <v>65</v>
      </c>
      <c r="C14" s="45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>
        <v>1</v>
      </c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33">
        <f t="shared" si="0"/>
        <v>1</v>
      </c>
    </row>
    <row r="15" spans="1:28" x14ac:dyDescent="0.25">
      <c r="A15" s="25">
        <v>12</v>
      </c>
      <c r="B15" s="8" t="s">
        <v>63</v>
      </c>
      <c r="C15" s="45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>
        <v>1</v>
      </c>
      <c r="S15" s="43"/>
      <c r="T15" s="43"/>
      <c r="U15" s="43"/>
      <c r="V15" s="43"/>
      <c r="W15" s="43"/>
      <c r="X15" s="43"/>
      <c r="Y15" s="43"/>
      <c r="Z15" s="43"/>
      <c r="AA15" s="43"/>
      <c r="AB15" s="33">
        <f t="shared" si="0"/>
        <v>1</v>
      </c>
    </row>
    <row r="16" spans="1:28" x14ac:dyDescent="0.25">
      <c r="A16" s="25">
        <v>13</v>
      </c>
      <c r="B16" s="8" t="s">
        <v>51</v>
      </c>
      <c r="C16" s="45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>
        <v>1</v>
      </c>
      <c r="W16" s="43"/>
      <c r="X16" s="43"/>
      <c r="Y16" s="43"/>
      <c r="Z16" s="43"/>
      <c r="AA16" s="43"/>
      <c r="AB16" s="33">
        <f t="shared" si="0"/>
        <v>1</v>
      </c>
    </row>
    <row r="17" spans="1:28" x14ac:dyDescent="0.25">
      <c r="A17" s="25">
        <v>14</v>
      </c>
      <c r="B17" s="8" t="s">
        <v>61</v>
      </c>
      <c r="C17" s="45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33">
        <f t="shared" si="0"/>
        <v>0</v>
      </c>
    </row>
    <row r="18" spans="1:28" x14ac:dyDescent="0.25">
      <c r="A18" s="25">
        <v>15</v>
      </c>
      <c r="B18" s="8" t="s">
        <v>72</v>
      </c>
      <c r="C18" s="45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33">
        <f t="shared" si="0"/>
        <v>0</v>
      </c>
    </row>
    <row r="19" spans="1:28" x14ac:dyDescent="0.25">
      <c r="A19" s="25">
        <v>16</v>
      </c>
      <c r="B19" s="27" t="s">
        <v>58</v>
      </c>
      <c r="C19" s="45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33">
        <f t="shared" si="0"/>
        <v>0</v>
      </c>
    </row>
    <row r="20" spans="1:28" x14ac:dyDescent="0.25">
      <c r="A20" s="3">
        <v>17</v>
      </c>
      <c r="B20" s="8" t="s">
        <v>49</v>
      </c>
      <c r="C20" s="45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85"/>
      <c r="AB20" s="247">
        <f t="shared" si="0"/>
        <v>0</v>
      </c>
    </row>
    <row r="21" spans="1:28" x14ac:dyDescent="0.25">
      <c r="A21" s="244">
        <v>18</v>
      </c>
      <c r="B21" s="250" t="s">
        <v>62</v>
      </c>
      <c r="C21" s="245"/>
      <c r="D21" s="245"/>
      <c r="E21" s="245"/>
      <c r="F21" s="245"/>
      <c r="G21" s="245"/>
      <c r="H21" s="245"/>
      <c r="I21" s="245"/>
      <c r="J21" s="245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6"/>
      <c r="Y21" s="245"/>
      <c r="Z21" s="245"/>
      <c r="AA21" s="245"/>
      <c r="AB21" s="33">
        <f t="shared" si="0"/>
        <v>0</v>
      </c>
    </row>
  </sheetData>
  <sortState xmlns:xlrd2="http://schemas.microsoft.com/office/spreadsheetml/2017/richdata2" ref="B16:AB18">
    <sortCondition descending="1" ref="AB16:AB1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2"/>
  <sheetViews>
    <sheetView zoomScale="85" zoomScaleNormal="85" workbookViewId="0">
      <selection activeCell="M7" sqref="M7"/>
    </sheetView>
  </sheetViews>
  <sheetFormatPr defaultRowHeight="13.2" x14ac:dyDescent="0.25"/>
  <cols>
    <col min="2" max="2" width="28.88671875" customWidth="1"/>
    <col min="3" max="8" width="9.109375" customWidth="1"/>
    <col min="17" max="17" width="8.5546875" customWidth="1"/>
    <col min="18" max="41" width="8.88671875" customWidth="1"/>
    <col min="42" max="42" width="11" customWidth="1"/>
  </cols>
  <sheetData>
    <row r="1" spans="1:13" ht="63.6" thickBot="1" x14ac:dyDescent="0.3">
      <c r="A1" s="25"/>
      <c r="B1" s="111" t="s">
        <v>39</v>
      </c>
      <c r="C1" s="30" t="s">
        <v>105</v>
      </c>
      <c r="D1" s="30" t="s">
        <v>106</v>
      </c>
      <c r="E1" s="30" t="s">
        <v>107</v>
      </c>
      <c r="F1" s="30" t="s">
        <v>108</v>
      </c>
      <c r="G1" s="30" t="s">
        <v>109</v>
      </c>
      <c r="H1" s="30" t="s">
        <v>110</v>
      </c>
      <c r="I1" s="30" t="s">
        <v>111</v>
      </c>
      <c r="J1" s="30" t="s">
        <v>112</v>
      </c>
      <c r="K1" s="30" t="s">
        <v>113</v>
      </c>
      <c r="L1" s="30" t="s">
        <v>114</v>
      </c>
    </row>
    <row r="2" spans="1:13" x14ac:dyDescent="0.25">
      <c r="A2" s="25">
        <v>1</v>
      </c>
      <c r="B2" s="124" t="s">
        <v>61</v>
      </c>
      <c r="C2" s="107">
        <v>12</v>
      </c>
      <c r="D2" s="107">
        <v>14</v>
      </c>
      <c r="E2" s="125">
        <v>12</v>
      </c>
      <c r="F2" s="32">
        <v>2</v>
      </c>
      <c r="G2" s="54">
        <v>19</v>
      </c>
      <c r="H2" s="54">
        <v>19</v>
      </c>
      <c r="I2" s="54">
        <v>16</v>
      </c>
      <c r="J2" s="54">
        <v>20</v>
      </c>
      <c r="K2" s="54"/>
      <c r="L2" s="54"/>
      <c r="M2" s="108">
        <f t="shared" ref="M2:M33" si="0">SUM(C2:L2)</f>
        <v>114</v>
      </c>
    </row>
    <row r="3" spans="1:13" x14ac:dyDescent="0.25">
      <c r="A3" s="25">
        <v>2</v>
      </c>
      <c r="B3" s="124" t="s">
        <v>73</v>
      </c>
      <c r="C3" s="107">
        <v>10</v>
      </c>
      <c r="D3" s="107">
        <v>11</v>
      </c>
      <c r="E3" s="125">
        <v>15</v>
      </c>
      <c r="F3" s="32">
        <v>4</v>
      </c>
      <c r="G3" s="54">
        <v>18</v>
      </c>
      <c r="H3" s="54">
        <v>21</v>
      </c>
      <c r="I3" s="54">
        <v>14</v>
      </c>
      <c r="J3" s="54">
        <v>8</v>
      </c>
      <c r="K3" s="54"/>
      <c r="L3" s="54"/>
      <c r="M3" s="126">
        <f t="shared" si="0"/>
        <v>101</v>
      </c>
    </row>
    <row r="4" spans="1:13" x14ac:dyDescent="0.25">
      <c r="A4" s="25">
        <v>3</v>
      </c>
      <c r="B4" s="124" t="s">
        <v>64</v>
      </c>
      <c r="C4" s="107">
        <v>9</v>
      </c>
      <c r="D4" s="107">
        <v>8</v>
      </c>
      <c r="E4" s="125">
        <v>18</v>
      </c>
      <c r="F4" s="32">
        <v>4</v>
      </c>
      <c r="G4" s="54">
        <v>19</v>
      </c>
      <c r="H4" s="54">
        <v>19</v>
      </c>
      <c r="I4" s="54">
        <v>14</v>
      </c>
      <c r="J4" s="54">
        <v>9</v>
      </c>
      <c r="K4" s="54"/>
      <c r="L4" s="54"/>
      <c r="M4" s="126">
        <f t="shared" si="0"/>
        <v>100</v>
      </c>
    </row>
    <row r="5" spans="1:13" x14ac:dyDescent="0.25">
      <c r="A5" s="25">
        <v>4</v>
      </c>
      <c r="B5" s="124" t="s">
        <v>70</v>
      </c>
      <c r="C5" s="107">
        <v>13</v>
      </c>
      <c r="D5" s="107">
        <v>16</v>
      </c>
      <c r="E5" s="125">
        <v>12</v>
      </c>
      <c r="F5" s="32">
        <v>3</v>
      </c>
      <c r="G5" s="54">
        <v>6</v>
      </c>
      <c r="H5" s="54">
        <v>17</v>
      </c>
      <c r="I5" s="54">
        <v>13</v>
      </c>
      <c r="J5" s="54">
        <v>17</v>
      </c>
      <c r="K5" s="54"/>
      <c r="L5" s="54"/>
      <c r="M5" s="126">
        <f t="shared" si="0"/>
        <v>97</v>
      </c>
    </row>
    <row r="6" spans="1:13" x14ac:dyDescent="0.25">
      <c r="A6" s="25">
        <v>5</v>
      </c>
      <c r="B6" s="124" t="s">
        <v>55</v>
      </c>
      <c r="C6" s="107">
        <v>12</v>
      </c>
      <c r="D6" s="107">
        <v>13</v>
      </c>
      <c r="E6" s="125">
        <v>13</v>
      </c>
      <c r="F6" s="32">
        <v>4</v>
      </c>
      <c r="G6" s="54">
        <v>15</v>
      </c>
      <c r="H6" s="54">
        <v>13</v>
      </c>
      <c r="I6" s="54">
        <v>10</v>
      </c>
      <c r="J6" s="54">
        <v>16</v>
      </c>
      <c r="K6" s="54"/>
      <c r="L6" s="54"/>
      <c r="M6" s="126">
        <f t="shared" si="0"/>
        <v>96</v>
      </c>
    </row>
    <row r="7" spans="1:13" x14ac:dyDescent="0.25">
      <c r="A7" s="25">
        <v>6</v>
      </c>
      <c r="B7" s="124" t="s">
        <v>62</v>
      </c>
      <c r="C7" s="107">
        <v>11</v>
      </c>
      <c r="D7" s="107">
        <v>8</v>
      </c>
      <c r="E7" s="125">
        <v>9</v>
      </c>
      <c r="F7" s="32">
        <v>1</v>
      </c>
      <c r="G7" s="54">
        <v>16</v>
      </c>
      <c r="H7" s="54">
        <v>17</v>
      </c>
      <c r="I7" s="54">
        <v>16</v>
      </c>
      <c r="J7" s="54">
        <v>18</v>
      </c>
      <c r="K7" s="54"/>
      <c r="L7" s="54"/>
      <c r="M7" s="126">
        <f t="shared" si="0"/>
        <v>96</v>
      </c>
    </row>
    <row r="8" spans="1:13" x14ac:dyDescent="0.25">
      <c r="A8" s="25">
        <v>7</v>
      </c>
      <c r="B8" s="124" t="s">
        <v>59</v>
      </c>
      <c r="C8" s="107">
        <v>14</v>
      </c>
      <c r="D8" s="107">
        <v>13</v>
      </c>
      <c r="E8" s="125">
        <v>12</v>
      </c>
      <c r="F8" s="32">
        <v>2</v>
      </c>
      <c r="G8" s="54">
        <v>5</v>
      </c>
      <c r="H8" s="54">
        <v>15</v>
      </c>
      <c r="I8" s="54">
        <v>17</v>
      </c>
      <c r="J8" s="54">
        <v>17</v>
      </c>
      <c r="K8" s="54"/>
      <c r="L8" s="54"/>
      <c r="M8" s="126">
        <f t="shared" si="0"/>
        <v>95</v>
      </c>
    </row>
    <row r="9" spans="1:13" x14ac:dyDescent="0.25">
      <c r="A9" s="25">
        <v>8</v>
      </c>
      <c r="B9" s="124" t="s">
        <v>72</v>
      </c>
      <c r="C9" s="107">
        <v>12</v>
      </c>
      <c r="D9" s="107">
        <v>16</v>
      </c>
      <c r="E9" s="125">
        <v>14</v>
      </c>
      <c r="F9" s="32">
        <v>4</v>
      </c>
      <c r="G9" s="54">
        <v>12</v>
      </c>
      <c r="H9" s="54">
        <v>19</v>
      </c>
      <c r="I9" s="54">
        <v>2</v>
      </c>
      <c r="J9" s="54">
        <v>14</v>
      </c>
      <c r="K9" s="54"/>
      <c r="L9" s="54"/>
      <c r="M9" s="126">
        <f t="shared" si="0"/>
        <v>93</v>
      </c>
    </row>
    <row r="10" spans="1:13" x14ac:dyDescent="0.25">
      <c r="A10" s="25">
        <v>9</v>
      </c>
      <c r="B10" s="124" t="s">
        <v>60</v>
      </c>
      <c r="C10" s="107"/>
      <c r="D10" s="107">
        <v>7</v>
      </c>
      <c r="E10" s="125">
        <v>13</v>
      </c>
      <c r="F10" s="32">
        <v>3</v>
      </c>
      <c r="G10" s="54">
        <v>20</v>
      </c>
      <c r="H10" s="54">
        <v>17</v>
      </c>
      <c r="I10" s="54">
        <v>16</v>
      </c>
      <c r="J10" s="54">
        <v>16</v>
      </c>
      <c r="K10" s="54"/>
      <c r="L10" s="54"/>
      <c r="M10" s="126">
        <f t="shared" si="0"/>
        <v>92</v>
      </c>
    </row>
    <row r="11" spans="1:13" x14ac:dyDescent="0.25">
      <c r="A11" s="25">
        <v>10</v>
      </c>
      <c r="B11" s="124" t="s">
        <v>49</v>
      </c>
      <c r="C11" s="107"/>
      <c r="D11" s="107">
        <v>9</v>
      </c>
      <c r="E11" s="125">
        <v>15</v>
      </c>
      <c r="F11" s="32">
        <v>3</v>
      </c>
      <c r="G11" s="54">
        <v>15</v>
      </c>
      <c r="H11" s="54">
        <v>16</v>
      </c>
      <c r="I11" s="54">
        <v>12</v>
      </c>
      <c r="J11" s="54">
        <v>18</v>
      </c>
      <c r="K11" s="54"/>
      <c r="L11" s="54"/>
      <c r="M11" s="126">
        <f t="shared" si="0"/>
        <v>88</v>
      </c>
    </row>
    <row r="12" spans="1:13" x14ac:dyDescent="0.25">
      <c r="A12" s="25">
        <v>11</v>
      </c>
      <c r="B12" s="124" t="s">
        <v>51</v>
      </c>
      <c r="C12" s="107"/>
      <c r="D12" s="107">
        <v>18</v>
      </c>
      <c r="E12" s="125">
        <v>17</v>
      </c>
      <c r="F12" s="32">
        <v>4</v>
      </c>
      <c r="G12" s="54">
        <v>15</v>
      </c>
      <c r="H12" s="54">
        <v>15</v>
      </c>
      <c r="I12" s="54">
        <v>11</v>
      </c>
      <c r="J12" s="54">
        <v>7</v>
      </c>
      <c r="K12" s="54"/>
      <c r="L12" s="54"/>
      <c r="M12" s="126">
        <f t="shared" si="0"/>
        <v>87</v>
      </c>
    </row>
    <row r="13" spans="1:13" x14ac:dyDescent="0.25">
      <c r="A13" s="25">
        <v>12</v>
      </c>
      <c r="B13" s="124" t="s">
        <v>77</v>
      </c>
      <c r="C13" s="107">
        <v>14</v>
      </c>
      <c r="D13" s="107">
        <v>14</v>
      </c>
      <c r="E13" s="125">
        <v>12</v>
      </c>
      <c r="F13" s="32">
        <v>3</v>
      </c>
      <c r="G13" s="54">
        <v>15</v>
      </c>
      <c r="H13" s="54">
        <v>8</v>
      </c>
      <c r="I13" s="54">
        <v>4</v>
      </c>
      <c r="J13" s="54">
        <v>8</v>
      </c>
      <c r="K13" s="54"/>
      <c r="L13" s="54"/>
      <c r="M13" s="126">
        <f t="shared" si="0"/>
        <v>78</v>
      </c>
    </row>
    <row r="14" spans="1:13" x14ac:dyDescent="0.25">
      <c r="A14" s="25">
        <v>13</v>
      </c>
      <c r="B14" s="124" t="s">
        <v>53</v>
      </c>
      <c r="C14" s="107"/>
      <c r="D14" s="107">
        <v>2</v>
      </c>
      <c r="E14" s="125">
        <v>12</v>
      </c>
      <c r="F14" s="32">
        <v>4</v>
      </c>
      <c r="G14" s="54">
        <v>13</v>
      </c>
      <c r="H14" s="54">
        <v>12</v>
      </c>
      <c r="I14" s="54">
        <v>15</v>
      </c>
      <c r="J14" s="54">
        <v>17</v>
      </c>
      <c r="K14" s="54"/>
      <c r="L14" s="54"/>
      <c r="M14" s="126">
        <f t="shared" si="0"/>
        <v>75</v>
      </c>
    </row>
    <row r="15" spans="1:13" x14ac:dyDescent="0.25">
      <c r="A15" s="25">
        <v>14</v>
      </c>
      <c r="B15" s="124" t="s">
        <v>57</v>
      </c>
      <c r="C15" s="107"/>
      <c r="D15" s="107">
        <v>3</v>
      </c>
      <c r="E15" s="125">
        <v>4</v>
      </c>
      <c r="F15" s="32">
        <v>2</v>
      </c>
      <c r="G15" s="54">
        <v>8</v>
      </c>
      <c r="H15" s="54">
        <v>19</v>
      </c>
      <c r="I15" s="54">
        <v>17</v>
      </c>
      <c r="J15" s="54">
        <v>18</v>
      </c>
      <c r="K15" s="54"/>
      <c r="L15" s="54"/>
      <c r="M15" s="212">
        <f t="shared" si="0"/>
        <v>71</v>
      </c>
    </row>
    <row r="16" spans="1:13" x14ac:dyDescent="0.25">
      <c r="A16" s="25">
        <v>15</v>
      </c>
      <c r="B16" s="151" t="s">
        <v>58</v>
      </c>
      <c r="C16" s="145"/>
      <c r="D16" s="145"/>
      <c r="E16" s="125"/>
      <c r="F16" s="32">
        <v>3</v>
      </c>
      <c r="G16" s="54">
        <v>15</v>
      </c>
      <c r="H16" s="54">
        <v>9</v>
      </c>
      <c r="I16" s="54">
        <v>10</v>
      </c>
      <c r="J16" s="54">
        <v>13</v>
      </c>
      <c r="K16" s="54"/>
      <c r="L16" s="54"/>
      <c r="M16" s="213">
        <f t="shared" si="0"/>
        <v>50</v>
      </c>
    </row>
    <row r="17" spans="1:13" x14ac:dyDescent="0.25">
      <c r="A17" s="25">
        <v>16</v>
      </c>
      <c r="B17" s="124" t="s">
        <v>68</v>
      </c>
      <c r="C17" s="107">
        <v>4</v>
      </c>
      <c r="D17" s="107">
        <v>2</v>
      </c>
      <c r="E17" s="125">
        <v>17</v>
      </c>
      <c r="F17" s="32">
        <v>2</v>
      </c>
      <c r="G17" s="54">
        <v>9</v>
      </c>
      <c r="H17" s="54">
        <v>6</v>
      </c>
      <c r="I17" s="54">
        <v>5</v>
      </c>
      <c r="J17" s="54">
        <v>4</v>
      </c>
      <c r="K17" s="54"/>
      <c r="L17" s="54"/>
      <c r="M17" s="214">
        <f t="shared" si="0"/>
        <v>49</v>
      </c>
    </row>
    <row r="18" spans="1:13" x14ac:dyDescent="0.25">
      <c r="A18" s="25">
        <v>17</v>
      </c>
      <c r="B18" s="124" t="s">
        <v>115</v>
      </c>
      <c r="C18" s="107">
        <v>9</v>
      </c>
      <c r="D18" s="107">
        <v>16</v>
      </c>
      <c r="E18" s="125">
        <v>14</v>
      </c>
      <c r="F18" s="32">
        <v>3</v>
      </c>
      <c r="G18" s="54">
        <v>4</v>
      </c>
      <c r="H18" s="54">
        <v>2</v>
      </c>
      <c r="I18" s="54"/>
      <c r="J18" s="54"/>
      <c r="K18" s="54"/>
      <c r="L18" s="54"/>
      <c r="M18" s="126">
        <f t="shared" si="0"/>
        <v>48</v>
      </c>
    </row>
    <row r="19" spans="1:13" x14ac:dyDescent="0.25">
      <c r="A19" s="25">
        <v>18</v>
      </c>
      <c r="B19" s="124" t="s">
        <v>116</v>
      </c>
      <c r="C19" s="107">
        <v>12</v>
      </c>
      <c r="D19" s="107">
        <v>10</v>
      </c>
      <c r="E19" s="125">
        <v>10</v>
      </c>
      <c r="F19" s="32">
        <v>0</v>
      </c>
      <c r="G19" s="54">
        <v>14</v>
      </c>
      <c r="H19" s="54"/>
      <c r="I19" s="54"/>
      <c r="J19" s="54"/>
      <c r="K19" s="54"/>
      <c r="L19" s="54"/>
      <c r="M19" s="126">
        <f t="shared" si="0"/>
        <v>46</v>
      </c>
    </row>
    <row r="20" spans="1:13" x14ac:dyDescent="0.25">
      <c r="A20" s="25">
        <v>19</v>
      </c>
      <c r="B20" s="124" t="s">
        <v>82</v>
      </c>
      <c r="C20" s="107">
        <v>11</v>
      </c>
      <c r="D20" s="107">
        <v>3</v>
      </c>
      <c r="E20" s="125">
        <v>5</v>
      </c>
      <c r="F20" s="32">
        <v>2</v>
      </c>
      <c r="G20" s="54">
        <v>9</v>
      </c>
      <c r="H20" s="54">
        <v>3</v>
      </c>
      <c r="I20" s="54">
        <v>3</v>
      </c>
      <c r="J20" s="54">
        <v>1</v>
      </c>
      <c r="K20" s="54"/>
      <c r="L20" s="54"/>
      <c r="M20" s="126">
        <f t="shared" si="0"/>
        <v>37</v>
      </c>
    </row>
    <row r="21" spans="1:13" x14ac:dyDescent="0.25">
      <c r="A21" s="25">
        <v>20</v>
      </c>
      <c r="B21" s="124" t="s">
        <v>80</v>
      </c>
      <c r="C21" s="51"/>
      <c r="D21" s="51"/>
      <c r="E21" s="168"/>
      <c r="F21" s="169"/>
      <c r="G21" s="206"/>
      <c r="H21" s="206">
        <v>10</v>
      </c>
      <c r="I21" s="206">
        <v>13</v>
      </c>
      <c r="J21" s="206">
        <v>12</v>
      </c>
      <c r="K21" s="206"/>
      <c r="L21" s="206"/>
      <c r="M21" s="126">
        <f t="shared" si="0"/>
        <v>35</v>
      </c>
    </row>
    <row r="22" spans="1:13" x14ac:dyDescent="0.25">
      <c r="A22" s="25">
        <v>21</v>
      </c>
      <c r="B22" s="124" t="s">
        <v>117</v>
      </c>
      <c r="C22" s="107"/>
      <c r="D22" s="107">
        <v>10</v>
      </c>
      <c r="E22" s="125">
        <v>9</v>
      </c>
      <c r="F22" s="32">
        <v>2</v>
      </c>
      <c r="G22" s="54">
        <v>13</v>
      </c>
      <c r="H22" s="54"/>
      <c r="I22" s="54"/>
      <c r="J22" s="54"/>
      <c r="K22" s="54"/>
      <c r="L22" s="54"/>
      <c r="M22" s="126">
        <f t="shared" si="0"/>
        <v>34</v>
      </c>
    </row>
    <row r="23" spans="1:13" x14ac:dyDescent="0.25">
      <c r="A23" s="25">
        <v>22</v>
      </c>
      <c r="B23" s="124" t="s">
        <v>118</v>
      </c>
      <c r="C23" s="107">
        <v>15</v>
      </c>
      <c r="D23" s="107">
        <v>18</v>
      </c>
      <c r="E23" s="125"/>
      <c r="F23" s="32"/>
      <c r="G23" s="54"/>
      <c r="H23" s="54"/>
      <c r="I23" s="54"/>
      <c r="J23" s="54"/>
      <c r="K23" s="54"/>
      <c r="L23" s="54"/>
      <c r="M23" s="126">
        <f t="shared" si="0"/>
        <v>33</v>
      </c>
    </row>
    <row r="24" spans="1:13" x14ac:dyDescent="0.25">
      <c r="A24" s="25">
        <v>23</v>
      </c>
      <c r="B24" s="151" t="s">
        <v>54</v>
      </c>
      <c r="C24" s="145"/>
      <c r="D24" s="145"/>
      <c r="E24" s="125"/>
      <c r="F24" s="32">
        <v>2</v>
      </c>
      <c r="G24" s="54">
        <v>3</v>
      </c>
      <c r="H24" s="54">
        <v>10</v>
      </c>
      <c r="I24" s="54">
        <v>10</v>
      </c>
      <c r="J24" s="54">
        <v>8</v>
      </c>
      <c r="K24" s="54"/>
      <c r="L24" s="54"/>
      <c r="M24" s="126">
        <f t="shared" si="0"/>
        <v>33</v>
      </c>
    </row>
    <row r="25" spans="1:13" x14ac:dyDescent="0.25">
      <c r="A25" s="25">
        <v>24</v>
      </c>
      <c r="B25" s="124" t="s">
        <v>119</v>
      </c>
      <c r="C25" s="107">
        <v>9</v>
      </c>
      <c r="D25" s="107">
        <v>16</v>
      </c>
      <c r="E25" s="125"/>
      <c r="F25" s="32"/>
      <c r="G25" s="54"/>
      <c r="H25" s="54">
        <v>3</v>
      </c>
      <c r="I25" s="54"/>
      <c r="J25" s="54"/>
      <c r="K25" s="54"/>
      <c r="L25" s="54"/>
      <c r="M25" s="126">
        <f t="shared" si="0"/>
        <v>28</v>
      </c>
    </row>
    <row r="26" spans="1:13" x14ac:dyDescent="0.25">
      <c r="A26" s="25">
        <v>25</v>
      </c>
      <c r="B26" s="124" t="s">
        <v>120</v>
      </c>
      <c r="C26" s="107"/>
      <c r="D26" s="107">
        <v>8</v>
      </c>
      <c r="E26" s="125">
        <v>7</v>
      </c>
      <c r="F26" s="32">
        <v>2</v>
      </c>
      <c r="G26" s="54">
        <v>1</v>
      </c>
      <c r="H26" s="54">
        <v>4</v>
      </c>
      <c r="I26" s="54">
        <v>5</v>
      </c>
      <c r="J26" s="54"/>
      <c r="K26" s="54"/>
      <c r="L26" s="54"/>
      <c r="M26" s="126">
        <f t="shared" si="0"/>
        <v>27</v>
      </c>
    </row>
    <row r="27" spans="1:13" x14ac:dyDescent="0.25">
      <c r="A27" s="25">
        <v>26</v>
      </c>
      <c r="B27" s="124" t="s">
        <v>76</v>
      </c>
      <c r="C27" s="51"/>
      <c r="D27" s="51"/>
      <c r="E27" s="168"/>
      <c r="F27" s="169"/>
      <c r="G27" s="206"/>
      <c r="H27" s="206">
        <v>12</v>
      </c>
      <c r="I27" s="206">
        <v>10</v>
      </c>
      <c r="J27" s="206"/>
      <c r="K27" s="206"/>
      <c r="L27" s="206"/>
      <c r="M27" s="126">
        <f t="shared" si="0"/>
        <v>22</v>
      </c>
    </row>
    <row r="28" spans="1:13" x14ac:dyDescent="0.25">
      <c r="A28" s="25">
        <v>27</v>
      </c>
      <c r="B28" s="124" t="s">
        <v>121</v>
      </c>
      <c r="C28" s="107">
        <v>13</v>
      </c>
      <c r="D28" s="107">
        <v>8</v>
      </c>
      <c r="E28" s="125"/>
      <c r="F28" s="32"/>
      <c r="G28" s="54"/>
      <c r="H28" s="54"/>
      <c r="I28" s="54"/>
      <c r="J28" s="54"/>
      <c r="K28" s="54"/>
      <c r="L28" s="54"/>
      <c r="M28" s="212">
        <f t="shared" si="0"/>
        <v>21</v>
      </c>
    </row>
    <row r="29" spans="1:13" x14ac:dyDescent="0.25">
      <c r="A29" s="25">
        <v>28</v>
      </c>
      <c r="B29" s="124" t="s">
        <v>122</v>
      </c>
      <c r="C29" s="107">
        <v>11</v>
      </c>
      <c r="D29" s="107">
        <v>9</v>
      </c>
      <c r="E29" s="125"/>
      <c r="F29" s="32"/>
      <c r="G29" s="54"/>
      <c r="H29" s="54"/>
      <c r="I29" s="54"/>
      <c r="J29" s="54"/>
      <c r="K29" s="54"/>
      <c r="L29" s="54"/>
      <c r="M29" s="213">
        <f t="shared" si="0"/>
        <v>20</v>
      </c>
    </row>
    <row r="30" spans="1:13" x14ac:dyDescent="0.25">
      <c r="A30" s="25">
        <v>29</v>
      </c>
      <c r="B30" s="8" t="s">
        <v>79</v>
      </c>
      <c r="C30" s="166"/>
      <c r="D30" s="166"/>
      <c r="E30" s="167"/>
      <c r="F30" s="169"/>
      <c r="G30" s="170">
        <v>15</v>
      </c>
      <c r="H30" s="170">
        <v>4</v>
      </c>
      <c r="I30" s="170"/>
      <c r="J30" s="170">
        <v>1</v>
      </c>
      <c r="K30" s="170"/>
      <c r="L30" s="170"/>
      <c r="M30" s="213">
        <f t="shared" si="0"/>
        <v>20</v>
      </c>
    </row>
    <row r="31" spans="1:13" x14ac:dyDescent="0.25">
      <c r="A31" s="25">
        <v>30</v>
      </c>
      <c r="B31" s="8" t="s">
        <v>123</v>
      </c>
      <c r="C31" s="146"/>
      <c r="D31" s="146"/>
      <c r="E31" s="167"/>
      <c r="F31" s="169"/>
      <c r="G31" s="170">
        <v>9</v>
      </c>
      <c r="H31" s="170">
        <v>7</v>
      </c>
      <c r="I31" s="170"/>
      <c r="J31" s="170"/>
      <c r="K31" s="170"/>
      <c r="L31" s="170"/>
      <c r="M31" s="213">
        <f t="shared" si="0"/>
        <v>16</v>
      </c>
    </row>
    <row r="32" spans="1:13" x14ac:dyDescent="0.25">
      <c r="A32" s="25">
        <v>31</v>
      </c>
      <c r="B32" s="113" t="s">
        <v>65</v>
      </c>
      <c r="C32" s="28"/>
      <c r="D32" s="28"/>
      <c r="E32" s="54"/>
      <c r="F32" s="32"/>
      <c r="G32" s="28"/>
      <c r="H32" s="28"/>
      <c r="I32" s="28"/>
      <c r="J32" s="28">
        <v>16</v>
      </c>
      <c r="K32" s="28"/>
      <c r="L32" s="171"/>
      <c r="M32" s="214">
        <f t="shared" si="0"/>
        <v>16</v>
      </c>
    </row>
    <row r="33" spans="1:13" x14ac:dyDescent="0.25">
      <c r="A33" s="25">
        <v>32</v>
      </c>
      <c r="B33" s="8" t="s">
        <v>75</v>
      </c>
      <c r="C33" s="146"/>
      <c r="D33" s="146"/>
      <c r="E33" s="146"/>
      <c r="F33" s="146"/>
      <c r="G33" s="194"/>
      <c r="H33" s="194"/>
      <c r="I33" s="194">
        <v>7</v>
      </c>
      <c r="J33" s="194">
        <v>8</v>
      </c>
      <c r="K33" s="194"/>
      <c r="L33" s="164"/>
      <c r="M33" s="126">
        <f t="shared" si="0"/>
        <v>15</v>
      </c>
    </row>
    <row r="34" spans="1:13" x14ac:dyDescent="0.25">
      <c r="A34" s="25">
        <v>33</v>
      </c>
      <c r="B34" s="8" t="s">
        <v>124</v>
      </c>
      <c r="C34" s="146"/>
      <c r="D34" s="146"/>
      <c r="E34" s="146"/>
      <c r="F34" s="146"/>
      <c r="G34" s="194"/>
      <c r="H34" s="194">
        <v>8</v>
      </c>
      <c r="I34" s="194">
        <v>5</v>
      </c>
      <c r="J34" s="194">
        <v>1</v>
      </c>
      <c r="K34" s="194"/>
      <c r="L34" s="164"/>
      <c r="M34" s="126">
        <f t="shared" ref="M34:M52" si="1">SUM(C34:L34)</f>
        <v>14</v>
      </c>
    </row>
    <row r="35" spans="1:13" x14ac:dyDescent="0.25">
      <c r="A35" s="25">
        <v>34</v>
      </c>
      <c r="B35" s="113" t="s">
        <v>56</v>
      </c>
      <c r="C35" s="28"/>
      <c r="D35" s="28"/>
      <c r="E35" s="28"/>
      <c r="F35" s="28"/>
      <c r="G35" s="28"/>
      <c r="H35" s="28"/>
      <c r="I35" s="28"/>
      <c r="J35" s="28">
        <v>14</v>
      </c>
      <c r="K35" s="28"/>
      <c r="L35" s="171"/>
      <c r="M35" s="213">
        <f t="shared" si="1"/>
        <v>14</v>
      </c>
    </row>
    <row r="36" spans="1:13" x14ac:dyDescent="0.25">
      <c r="A36" s="25">
        <v>35</v>
      </c>
      <c r="B36" s="113" t="s">
        <v>63</v>
      </c>
      <c r="C36" s="28"/>
      <c r="D36" s="28"/>
      <c r="E36" s="28"/>
      <c r="F36" s="28"/>
      <c r="G36" s="28"/>
      <c r="H36" s="28"/>
      <c r="I36" s="28"/>
      <c r="J36" s="28">
        <v>14</v>
      </c>
      <c r="K36" s="28"/>
      <c r="L36" s="171"/>
      <c r="M36" s="214">
        <f t="shared" si="1"/>
        <v>14</v>
      </c>
    </row>
    <row r="37" spans="1:13" x14ac:dyDescent="0.25">
      <c r="A37" s="25">
        <v>36</v>
      </c>
      <c r="B37" s="113" t="s">
        <v>125</v>
      </c>
      <c r="C37" s="28"/>
      <c r="D37" s="28"/>
      <c r="E37" s="28">
        <v>7</v>
      </c>
      <c r="F37" s="28">
        <v>1</v>
      </c>
      <c r="G37" s="28">
        <v>1</v>
      </c>
      <c r="H37" s="28"/>
      <c r="I37" s="28"/>
      <c r="J37" s="28">
        <v>4</v>
      </c>
      <c r="K37" s="28"/>
      <c r="L37" s="171"/>
      <c r="M37" s="126">
        <f t="shared" si="1"/>
        <v>13</v>
      </c>
    </row>
    <row r="38" spans="1:13" x14ac:dyDescent="0.25">
      <c r="A38" s="25">
        <v>37</v>
      </c>
      <c r="B38" s="113" t="s">
        <v>67</v>
      </c>
      <c r="C38" s="28"/>
      <c r="D38" s="28"/>
      <c r="E38" s="28"/>
      <c r="F38" s="28"/>
      <c r="G38" s="28"/>
      <c r="H38" s="28"/>
      <c r="I38" s="28"/>
      <c r="J38" s="28">
        <v>12</v>
      </c>
      <c r="K38" s="28"/>
      <c r="L38" s="171"/>
      <c r="M38" s="126">
        <f t="shared" si="1"/>
        <v>12</v>
      </c>
    </row>
    <row r="39" spans="1:13" x14ac:dyDescent="0.25">
      <c r="A39" s="25">
        <v>38</v>
      </c>
      <c r="B39" s="113" t="s">
        <v>81</v>
      </c>
      <c r="C39" s="28"/>
      <c r="D39" s="28"/>
      <c r="E39" s="28"/>
      <c r="F39" s="28"/>
      <c r="G39" s="28"/>
      <c r="H39" s="28"/>
      <c r="I39" s="28"/>
      <c r="J39" s="28">
        <v>11</v>
      </c>
      <c r="K39" s="28"/>
      <c r="L39" s="171"/>
      <c r="M39" s="213">
        <f t="shared" si="1"/>
        <v>11</v>
      </c>
    </row>
    <row r="40" spans="1:13" x14ac:dyDescent="0.25">
      <c r="A40" s="25">
        <v>39</v>
      </c>
      <c r="B40" s="8" t="s">
        <v>126</v>
      </c>
      <c r="C40" s="152"/>
      <c r="D40" s="152">
        <v>10</v>
      </c>
      <c r="E40" s="28"/>
      <c r="F40" s="28"/>
      <c r="G40" s="28"/>
      <c r="H40" s="28"/>
      <c r="I40" s="28"/>
      <c r="J40" s="28"/>
      <c r="K40" s="28"/>
      <c r="L40" s="171"/>
      <c r="M40" s="214">
        <f t="shared" si="1"/>
        <v>10</v>
      </c>
    </row>
    <row r="41" spans="1:13" x14ac:dyDescent="0.25">
      <c r="A41" s="25">
        <v>40</v>
      </c>
      <c r="B41" s="8" t="s">
        <v>127</v>
      </c>
      <c r="C41" s="146"/>
      <c r="D41" s="146"/>
      <c r="E41" s="146"/>
      <c r="F41" s="146"/>
      <c r="G41" s="194"/>
      <c r="H41" s="194"/>
      <c r="I41" s="194">
        <v>6</v>
      </c>
      <c r="J41" s="194"/>
      <c r="K41" s="194"/>
      <c r="L41" s="164"/>
      <c r="M41" s="126">
        <f t="shared" si="1"/>
        <v>6</v>
      </c>
    </row>
    <row r="42" spans="1:13" x14ac:dyDescent="0.25">
      <c r="A42" s="25">
        <v>41</v>
      </c>
      <c r="B42" s="8" t="s">
        <v>78</v>
      </c>
      <c r="C42" s="152"/>
      <c r="D42" s="152"/>
      <c r="E42" s="28"/>
      <c r="F42" s="28"/>
      <c r="G42" s="28"/>
      <c r="H42" s="28"/>
      <c r="I42" s="28">
        <v>5</v>
      </c>
      <c r="J42" s="28">
        <v>1</v>
      </c>
      <c r="K42" s="28"/>
      <c r="L42" s="171"/>
      <c r="M42" s="126">
        <f t="shared" si="1"/>
        <v>6</v>
      </c>
    </row>
    <row r="43" spans="1:13" x14ac:dyDescent="0.25">
      <c r="A43" s="25">
        <v>42</v>
      </c>
      <c r="B43" s="8" t="s">
        <v>128</v>
      </c>
      <c r="C43" s="152">
        <v>4</v>
      </c>
      <c r="D43" s="152"/>
      <c r="E43" s="28"/>
      <c r="F43" s="28"/>
      <c r="G43" s="28"/>
      <c r="H43" s="28"/>
      <c r="I43" s="28"/>
      <c r="J43" s="28"/>
      <c r="K43" s="28"/>
      <c r="L43" s="171"/>
      <c r="M43" s="213">
        <f t="shared" si="1"/>
        <v>4</v>
      </c>
    </row>
    <row r="44" spans="1:13" x14ac:dyDescent="0.25">
      <c r="A44" s="25">
        <v>43</v>
      </c>
      <c r="B44" s="8" t="s">
        <v>129</v>
      </c>
      <c r="C44" s="146"/>
      <c r="D44" s="146"/>
      <c r="E44" s="146"/>
      <c r="F44" s="146"/>
      <c r="G44" s="193">
        <v>3</v>
      </c>
      <c r="H44" s="193">
        <v>1</v>
      </c>
      <c r="I44" s="193"/>
      <c r="J44" s="193"/>
      <c r="K44" s="193"/>
      <c r="L44" s="163"/>
      <c r="M44" s="214">
        <f t="shared" si="1"/>
        <v>4</v>
      </c>
    </row>
    <row r="45" spans="1:13" x14ac:dyDescent="0.25">
      <c r="A45" s="25">
        <v>44</v>
      </c>
      <c r="B45" s="8" t="s">
        <v>130</v>
      </c>
      <c r="C45" s="152"/>
      <c r="D45" s="152">
        <v>2</v>
      </c>
      <c r="E45" s="28">
        <v>1</v>
      </c>
      <c r="F45" s="28"/>
      <c r="G45" s="28"/>
      <c r="H45" s="28"/>
      <c r="I45" s="28"/>
      <c r="J45" s="28"/>
      <c r="K45" s="28"/>
      <c r="L45" s="171"/>
      <c r="M45" s="126">
        <f t="shared" si="1"/>
        <v>3</v>
      </c>
    </row>
    <row r="46" spans="1:13" x14ac:dyDescent="0.25">
      <c r="A46" s="25">
        <v>45</v>
      </c>
      <c r="B46" s="8" t="s">
        <v>131</v>
      </c>
      <c r="C46" s="152"/>
      <c r="D46" s="152"/>
      <c r="E46" s="28"/>
      <c r="F46" s="28"/>
      <c r="G46" s="28"/>
      <c r="H46" s="28"/>
      <c r="I46" s="28">
        <v>3</v>
      </c>
      <c r="J46" s="28"/>
      <c r="K46" s="28"/>
      <c r="L46" s="171"/>
      <c r="M46" s="126">
        <f t="shared" si="1"/>
        <v>3</v>
      </c>
    </row>
    <row r="47" spans="1:13" x14ac:dyDescent="0.25">
      <c r="A47" s="25">
        <v>46</v>
      </c>
      <c r="B47" s="8" t="s">
        <v>47</v>
      </c>
      <c r="C47" s="152"/>
      <c r="D47" s="152"/>
      <c r="E47" s="28"/>
      <c r="F47" s="28"/>
      <c r="G47" s="28"/>
      <c r="H47" s="28"/>
      <c r="I47" s="28"/>
      <c r="J47" s="28">
        <v>3</v>
      </c>
      <c r="K47" s="28"/>
      <c r="L47" s="171"/>
      <c r="M47" s="214">
        <f t="shared" si="1"/>
        <v>3</v>
      </c>
    </row>
    <row r="48" spans="1:13" x14ac:dyDescent="0.25">
      <c r="A48" s="25">
        <v>47</v>
      </c>
      <c r="B48" s="8" t="s">
        <v>132</v>
      </c>
      <c r="C48" s="152">
        <v>1</v>
      </c>
      <c r="D48" s="152"/>
      <c r="E48" s="28"/>
      <c r="F48" s="28"/>
      <c r="G48" s="28"/>
      <c r="H48" s="28"/>
      <c r="I48" s="28"/>
      <c r="J48" s="28"/>
      <c r="K48" s="28"/>
      <c r="L48" s="171"/>
      <c r="M48" s="126">
        <f t="shared" si="1"/>
        <v>1</v>
      </c>
    </row>
    <row r="49" spans="1:13" x14ac:dyDescent="0.25">
      <c r="A49" s="25">
        <v>48</v>
      </c>
      <c r="B49" s="8" t="s">
        <v>133</v>
      </c>
      <c r="C49" s="146"/>
      <c r="D49" s="146"/>
      <c r="E49" s="146"/>
      <c r="F49" s="146"/>
      <c r="G49" s="194">
        <v>1</v>
      </c>
      <c r="H49" s="194"/>
      <c r="I49" s="194"/>
      <c r="J49" s="194"/>
      <c r="K49" s="194"/>
      <c r="L49" s="164"/>
      <c r="M49" s="126">
        <f t="shared" si="1"/>
        <v>1</v>
      </c>
    </row>
    <row r="50" spans="1:13" x14ac:dyDescent="0.25">
      <c r="A50" s="25">
        <v>49</v>
      </c>
      <c r="B50" s="8" t="s">
        <v>134</v>
      </c>
      <c r="C50" s="146"/>
      <c r="D50" s="146"/>
      <c r="E50" s="146"/>
      <c r="F50" s="146"/>
      <c r="G50" s="194">
        <v>1</v>
      </c>
      <c r="H50" s="194"/>
      <c r="I50" s="194"/>
      <c r="J50" s="194"/>
      <c r="K50" s="194"/>
      <c r="L50" s="164"/>
      <c r="M50" s="214">
        <f t="shared" si="1"/>
        <v>1</v>
      </c>
    </row>
    <row r="51" spans="1:13" x14ac:dyDescent="0.25">
      <c r="A51" s="25">
        <v>50</v>
      </c>
      <c r="B51" s="8" t="s">
        <v>135</v>
      </c>
      <c r="C51" s="146"/>
      <c r="D51" s="146"/>
      <c r="E51" s="146"/>
      <c r="F51" s="146"/>
      <c r="G51" s="194"/>
      <c r="H51" s="194"/>
      <c r="I51" s="194"/>
      <c r="J51" s="194">
        <v>1</v>
      </c>
      <c r="K51" s="194"/>
      <c r="L51" s="164"/>
      <c r="M51" s="126">
        <f t="shared" si="1"/>
        <v>1</v>
      </c>
    </row>
    <row r="52" spans="1:13" x14ac:dyDescent="0.25">
      <c r="A52" s="25">
        <v>51</v>
      </c>
      <c r="B52" s="146" t="s">
        <v>136</v>
      </c>
      <c r="C52" s="146"/>
      <c r="D52" s="146"/>
      <c r="E52" s="146"/>
      <c r="F52" s="184">
        <v>1</v>
      </c>
      <c r="G52" s="146"/>
      <c r="H52" s="146"/>
      <c r="I52" s="146"/>
      <c r="J52" s="146"/>
      <c r="K52" s="146"/>
      <c r="L52" s="165"/>
      <c r="M52" s="126">
        <f t="shared" si="1"/>
        <v>1</v>
      </c>
    </row>
    <row r="54" spans="1:13" x14ac:dyDescent="0.25">
      <c r="B54" s="192" t="s">
        <v>84</v>
      </c>
      <c r="C54">
        <f>SUM(C2:C52)</f>
        <v>196</v>
      </c>
      <c r="D54">
        <f>SUM(D2:D52)</f>
        <v>264</v>
      </c>
      <c r="E54">
        <f t="shared" ref="E54:L54" si="2">SUM(E2:E52)</f>
        <v>248</v>
      </c>
      <c r="F54">
        <f t="shared" si="2"/>
        <v>61</v>
      </c>
      <c r="G54">
        <f t="shared" si="2"/>
        <v>294</v>
      </c>
      <c r="H54">
        <f t="shared" si="2"/>
        <v>306</v>
      </c>
      <c r="I54">
        <f t="shared" si="2"/>
        <v>259</v>
      </c>
      <c r="J54">
        <f t="shared" si="2"/>
        <v>327</v>
      </c>
      <c r="K54">
        <f t="shared" si="2"/>
        <v>0</v>
      </c>
      <c r="L54">
        <f t="shared" si="2"/>
        <v>0</v>
      </c>
    </row>
    <row r="55" spans="1:13" x14ac:dyDescent="0.25">
      <c r="B55" s="192"/>
    </row>
    <row r="56" spans="1:13" x14ac:dyDescent="0.25">
      <c r="B56" s="192" t="s">
        <v>137</v>
      </c>
      <c r="C56">
        <v>188</v>
      </c>
      <c r="D56">
        <v>234</v>
      </c>
      <c r="E56">
        <v>226</v>
      </c>
      <c r="F56">
        <v>54</v>
      </c>
      <c r="G56">
        <v>260</v>
      </c>
      <c r="H56">
        <v>287</v>
      </c>
      <c r="I56">
        <v>232</v>
      </c>
      <c r="J56">
        <v>295</v>
      </c>
    </row>
    <row r="58" spans="1:13" x14ac:dyDescent="0.25">
      <c r="B58" s="192" t="s">
        <v>138</v>
      </c>
      <c r="C58">
        <v>16</v>
      </c>
      <c r="D58">
        <v>19</v>
      </c>
      <c r="E58">
        <v>18</v>
      </c>
      <c r="F58">
        <v>4</v>
      </c>
      <c r="G58">
        <v>21</v>
      </c>
      <c r="H58">
        <v>23</v>
      </c>
      <c r="I58">
        <v>19</v>
      </c>
      <c r="J58">
        <v>23</v>
      </c>
    </row>
    <row r="60" spans="1:13" x14ac:dyDescent="0.25">
      <c r="B60" s="192" t="s">
        <v>139</v>
      </c>
      <c r="C60">
        <f>C54/C58</f>
        <v>12.25</v>
      </c>
      <c r="D60">
        <f t="shared" ref="D60:I60" si="3">D54/D58</f>
        <v>13.894736842105264</v>
      </c>
      <c r="E60">
        <f t="shared" si="3"/>
        <v>13.777777777777779</v>
      </c>
      <c r="F60">
        <f t="shared" si="3"/>
        <v>15.25</v>
      </c>
      <c r="G60">
        <f t="shared" si="3"/>
        <v>14</v>
      </c>
      <c r="H60">
        <f t="shared" si="3"/>
        <v>13.304347826086957</v>
      </c>
      <c r="I60">
        <f t="shared" si="3"/>
        <v>13.631578947368421</v>
      </c>
      <c r="J60">
        <f>J54/J58</f>
        <v>14.217391304347826</v>
      </c>
    </row>
    <row r="62" spans="1:13" x14ac:dyDescent="0.25">
      <c r="B62" s="192" t="s">
        <v>140</v>
      </c>
      <c r="C62">
        <f>C56/C58</f>
        <v>11.75</v>
      </c>
      <c r="D62">
        <f t="shared" ref="D62:I62" si="4">D56/D58</f>
        <v>12.315789473684211</v>
      </c>
      <c r="E62">
        <f t="shared" si="4"/>
        <v>12.555555555555555</v>
      </c>
      <c r="F62">
        <f t="shared" si="4"/>
        <v>13.5</v>
      </c>
      <c r="G62">
        <f t="shared" si="4"/>
        <v>12.380952380952381</v>
      </c>
      <c r="H62">
        <f t="shared" si="4"/>
        <v>12.478260869565217</v>
      </c>
      <c r="I62">
        <f t="shared" si="4"/>
        <v>12.210526315789474</v>
      </c>
      <c r="J62">
        <f>J56/J58</f>
        <v>12.826086956521738</v>
      </c>
    </row>
  </sheetData>
  <sortState xmlns:xlrd2="http://schemas.microsoft.com/office/spreadsheetml/2017/richdata2" ref="B3:M52">
    <sortCondition descending="1" ref="M3:M52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5"/>
  <sheetViews>
    <sheetView zoomScale="85" zoomScaleNormal="85" workbookViewId="0">
      <selection activeCell="N3" sqref="N3"/>
    </sheetView>
  </sheetViews>
  <sheetFormatPr defaultColWidth="9.109375" defaultRowHeight="13.2" x14ac:dyDescent="0.25"/>
  <cols>
    <col min="2" max="2" width="24.6640625" customWidth="1"/>
    <col min="16" max="16" width="9.109375" bestFit="1" customWidth="1"/>
    <col min="17" max="17" width="26.5546875" customWidth="1"/>
    <col min="18" max="23" width="9.109375" customWidth="1"/>
    <col min="24" max="40" width="9.109375" bestFit="1" customWidth="1"/>
  </cols>
  <sheetData>
    <row r="1" spans="1:13" ht="63" x14ac:dyDescent="0.25">
      <c r="A1" s="25"/>
      <c r="B1" s="111" t="s">
        <v>39</v>
      </c>
      <c r="C1" s="30" t="s">
        <v>105</v>
      </c>
      <c r="D1" s="30" t="s">
        <v>106</v>
      </c>
      <c r="E1" s="30" t="s">
        <v>107</v>
      </c>
      <c r="F1" s="30" t="s">
        <v>108</v>
      </c>
      <c r="G1" s="185" t="s">
        <v>109</v>
      </c>
      <c r="H1" s="185" t="s">
        <v>110</v>
      </c>
      <c r="I1" s="185" t="s">
        <v>111</v>
      </c>
      <c r="J1" s="185" t="s">
        <v>112</v>
      </c>
      <c r="K1" s="185" t="s">
        <v>113</v>
      </c>
      <c r="L1" s="185" t="s">
        <v>114</v>
      </c>
    </row>
    <row r="2" spans="1:13" x14ac:dyDescent="0.25">
      <c r="A2" s="25">
        <v>1</v>
      </c>
      <c r="B2" s="112" t="s">
        <v>64</v>
      </c>
      <c r="C2" s="28">
        <v>6</v>
      </c>
      <c r="D2" s="28">
        <v>6</v>
      </c>
      <c r="E2" s="54">
        <v>10</v>
      </c>
      <c r="F2" s="32">
        <v>1</v>
      </c>
      <c r="G2" s="28">
        <v>8</v>
      </c>
      <c r="H2" s="54">
        <v>7</v>
      </c>
      <c r="I2" s="54">
        <v>10</v>
      </c>
      <c r="J2" s="54"/>
      <c r="K2" s="54"/>
      <c r="L2" s="54"/>
      <c r="M2" s="215">
        <f t="shared" ref="M2:M31" si="0">SUM(C2:L2)</f>
        <v>48</v>
      </c>
    </row>
    <row r="3" spans="1:13" x14ac:dyDescent="0.25">
      <c r="A3" s="25">
        <v>2</v>
      </c>
      <c r="B3" s="112" t="s">
        <v>61</v>
      </c>
      <c r="C3" s="28">
        <v>7</v>
      </c>
      <c r="D3" s="28">
        <v>4</v>
      </c>
      <c r="E3" s="54">
        <v>6</v>
      </c>
      <c r="F3" s="32"/>
      <c r="G3" s="28">
        <v>9</v>
      </c>
      <c r="H3" s="54">
        <v>5</v>
      </c>
      <c r="I3" s="54">
        <v>13</v>
      </c>
      <c r="J3" s="54">
        <v>4</v>
      </c>
      <c r="K3" s="54"/>
      <c r="L3" s="54"/>
      <c r="M3" s="216">
        <f t="shared" si="0"/>
        <v>48</v>
      </c>
    </row>
    <row r="4" spans="1:13" x14ac:dyDescent="0.25">
      <c r="A4" s="25">
        <v>3</v>
      </c>
      <c r="B4" s="113" t="s">
        <v>60</v>
      </c>
      <c r="C4" s="28"/>
      <c r="D4" s="28">
        <v>1</v>
      </c>
      <c r="E4" s="54">
        <v>9</v>
      </c>
      <c r="F4" s="32">
        <v>5</v>
      </c>
      <c r="G4" s="28">
        <v>6</v>
      </c>
      <c r="H4" s="54">
        <v>5</v>
      </c>
      <c r="I4" s="54">
        <v>1</v>
      </c>
      <c r="J4" s="54">
        <v>2</v>
      </c>
      <c r="K4" s="54"/>
      <c r="L4" s="54"/>
      <c r="M4" s="216">
        <f t="shared" si="0"/>
        <v>29</v>
      </c>
    </row>
    <row r="5" spans="1:13" x14ac:dyDescent="0.25">
      <c r="A5" s="25">
        <v>4</v>
      </c>
      <c r="B5" s="113" t="s">
        <v>57</v>
      </c>
      <c r="C5" s="28"/>
      <c r="D5" s="28">
        <v>2</v>
      </c>
      <c r="E5" s="54"/>
      <c r="F5" s="32"/>
      <c r="G5" s="28">
        <v>1</v>
      </c>
      <c r="H5" s="54">
        <v>9</v>
      </c>
      <c r="I5" s="54">
        <v>7</v>
      </c>
      <c r="J5" s="54">
        <v>6</v>
      </c>
      <c r="K5" s="54"/>
      <c r="L5" s="54"/>
      <c r="M5" s="216">
        <f t="shared" si="0"/>
        <v>25</v>
      </c>
    </row>
    <row r="6" spans="1:13" x14ac:dyDescent="0.25">
      <c r="A6" s="25">
        <v>5</v>
      </c>
      <c r="B6" s="113" t="s">
        <v>72</v>
      </c>
      <c r="C6" s="28">
        <v>3</v>
      </c>
      <c r="D6" s="28">
        <v>2</v>
      </c>
      <c r="E6" s="54">
        <v>4</v>
      </c>
      <c r="F6" s="32"/>
      <c r="G6" s="28">
        <v>2</v>
      </c>
      <c r="H6" s="54">
        <v>7</v>
      </c>
      <c r="I6" s="54"/>
      <c r="J6" s="54">
        <v>3</v>
      </c>
      <c r="K6" s="54"/>
      <c r="L6" s="54"/>
      <c r="M6" s="216">
        <f t="shared" si="0"/>
        <v>21</v>
      </c>
    </row>
    <row r="7" spans="1:13" x14ac:dyDescent="0.25">
      <c r="A7" s="25">
        <v>6</v>
      </c>
      <c r="B7" s="113" t="s">
        <v>55</v>
      </c>
      <c r="C7" s="28">
        <v>2</v>
      </c>
      <c r="D7" s="28"/>
      <c r="E7" s="54">
        <v>1</v>
      </c>
      <c r="F7" s="32">
        <v>3</v>
      </c>
      <c r="G7" s="28">
        <v>1</v>
      </c>
      <c r="H7" s="54">
        <v>3</v>
      </c>
      <c r="I7" s="54">
        <v>3</v>
      </c>
      <c r="J7" s="54">
        <v>3</v>
      </c>
      <c r="K7" s="54"/>
      <c r="L7" s="54"/>
      <c r="M7" s="216">
        <f t="shared" si="0"/>
        <v>16</v>
      </c>
    </row>
    <row r="8" spans="1:13" x14ac:dyDescent="0.25">
      <c r="A8" s="25">
        <v>7</v>
      </c>
      <c r="B8" s="113" t="s">
        <v>51</v>
      </c>
      <c r="C8" s="28"/>
      <c r="D8" s="28">
        <v>2</v>
      </c>
      <c r="E8" s="54"/>
      <c r="F8" s="32"/>
      <c r="G8" s="28">
        <v>1</v>
      </c>
      <c r="H8" s="54">
        <v>1</v>
      </c>
      <c r="I8" s="54">
        <v>3</v>
      </c>
      <c r="J8" s="54">
        <v>2</v>
      </c>
      <c r="K8" s="54"/>
      <c r="L8" s="54"/>
      <c r="M8" s="216">
        <f t="shared" si="0"/>
        <v>9</v>
      </c>
    </row>
    <row r="9" spans="1:13" x14ac:dyDescent="0.25">
      <c r="A9" s="25">
        <v>8</v>
      </c>
      <c r="B9" s="113" t="s">
        <v>124</v>
      </c>
      <c r="C9" s="28"/>
      <c r="D9" s="28"/>
      <c r="E9" s="54"/>
      <c r="F9" s="32"/>
      <c r="G9" s="28"/>
      <c r="H9" s="54">
        <v>2</v>
      </c>
      <c r="I9" s="54">
        <v>6</v>
      </c>
      <c r="J9" s="54"/>
      <c r="K9" s="54"/>
      <c r="L9" s="54"/>
      <c r="M9" s="216">
        <f t="shared" si="0"/>
        <v>8</v>
      </c>
    </row>
    <row r="10" spans="1:13" x14ac:dyDescent="0.25">
      <c r="A10" s="25">
        <v>9</v>
      </c>
      <c r="B10" s="113" t="s">
        <v>54</v>
      </c>
      <c r="C10" s="28"/>
      <c r="D10" s="28"/>
      <c r="E10" s="54"/>
      <c r="F10" s="32">
        <v>2</v>
      </c>
      <c r="G10" s="28"/>
      <c r="H10" s="54">
        <v>3</v>
      </c>
      <c r="I10" s="54">
        <v>1</v>
      </c>
      <c r="J10" s="54">
        <v>2</v>
      </c>
      <c r="K10" s="54"/>
      <c r="L10" s="54"/>
      <c r="M10" s="216">
        <f t="shared" si="0"/>
        <v>8</v>
      </c>
    </row>
    <row r="11" spans="1:13" x14ac:dyDescent="0.25">
      <c r="A11" s="25">
        <v>10</v>
      </c>
      <c r="B11" s="113" t="s">
        <v>58</v>
      </c>
      <c r="C11" s="28"/>
      <c r="D11" s="28"/>
      <c r="E11" s="54"/>
      <c r="F11" s="32">
        <v>2</v>
      </c>
      <c r="G11" s="28">
        <v>3</v>
      </c>
      <c r="H11" s="54"/>
      <c r="I11" s="54">
        <v>1</v>
      </c>
      <c r="J11" s="54">
        <v>1</v>
      </c>
      <c r="K11" s="54"/>
      <c r="L11" s="54"/>
      <c r="M11" s="216">
        <f t="shared" si="0"/>
        <v>7</v>
      </c>
    </row>
    <row r="12" spans="1:13" x14ac:dyDescent="0.25">
      <c r="A12" s="25">
        <v>11</v>
      </c>
      <c r="B12" s="113" t="s">
        <v>53</v>
      </c>
      <c r="C12" s="28"/>
      <c r="D12" s="28"/>
      <c r="E12" s="54">
        <v>1</v>
      </c>
      <c r="F12" s="32"/>
      <c r="G12" s="28"/>
      <c r="H12" s="54">
        <v>2</v>
      </c>
      <c r="I12" s="54">
        <v>1</v>
      </c>
      <c r="J12" s="54">
        <v>3</v>
      </c>
      <c r="K12" s="54"/>
      <c r="L12" s="54"/>
      <c r="M12" s="216">
        <f t="shared" si="0"/>
        <v>7</v>
      </c>
    </row>
    <row r="13" spans="1:13" x14ac:dyDescent="0.25">
      <c r="A13" s="25">
        <v>12</v>
      </c>
      <c r="B13" s="113" t="s">
        <v>141</v>
      </c>
      <c r="C13" s="28">
        <v>2</v>
      </c>
      <c r="D13" s="28">
        <v>3</v>
      </c>
      <c r="E13" s="54">
        <v>1</v>
      </c>
      <c r="F13" s="32"/>
      <c r="G13" s="28"/>
      <c r="H13" s="54"/>
      <c r="I13" s="54"/>
      <c r="J13" s="54"/>
      <c r="K13" s="54"/>
      <c r="L13" s="54"/>
      <c r="M13" s="216">
        <f t="shared" si="0"/>
        <v>6</v>
      </c>
    </row>
    <row r="14" spans="1:13" x14ac:dyDescent="0.25">
      <c r="A14" s="25">
        <v>13</v>
      </c>
      <c r="B14" s="112" t="s">
        <v>118</v>
      </c>
      <c r="C14" s="28">
        <v>4</v>
      </c>
      <c r="D14" s="28">
        <v>1</v>
      </c>
      <c r="E14" s="54"/>
      <c r="F14" s="32"/>
      <c r="G14" s="28"/>
      <c r="H14" s="54"/>
      <c r="I14" s="54"/>
      <c r="J14" s="54"/>
      <c r="K14" s="54"/>
      <c r="L14" s="54"/>
      <c r="M14" s="216">
        <f t="shared" si="0"/>
        <v>5</v>
      </c>
    </row>
    <row r="15" spans="1:13" x14ac:dyDescent="0.25">
      <c r="A15" s="25">
        <v>14</v>
      </c>
      <c r="B15" s="113" t="s">
        <v>119</v>
      </c>
      <c r="C15" s="28">
        <v>2</v>
      </c>
      <c r="D15" s="28">
        <v>2</v>
      </c>
      <c r="E15" s="54"/>
      <c r="F15" s="32"/>
      <c r="G15" s="28"/>
      <c r="H15" s="54">
        <v>1</v>
      </c>
      <c r="I15" s="54"/>
      <c r="J15" s="54"/>
      <c r="K15" s="54"/>
      <c r="L15" s="54"/>
      <c r="M15" s="216">
        <f t="shared" si="0"/>
        <v>5</v>
      </c>
    </row>
    <row r="16" spans="1:13" x14ac:dyDescent="0.25">
      <c r="A16" s="25">
        <v>15</v>
      </c>
      <c r="B16" s="113" t="s">
        <v>80</v>
      </c>
      <c r="C16" s="28"/>
      <c r="D16" s="28"/>
      <c r="E16" s="54"/>
      <c r="F16" s="32"/>
      <c r="G16" s="28"/>
      <c r="H16" s="54">
        <v>1</v>
      </c>
      <c r="I16" s="54">
        <v>4</v>
      </c>
      <c r="J16" s="54"/>
      <c r="K16" s="54"/>
      <c r="L16" s="54"/>
      <c r="M16" s="216">
        <f t="shared" si="0"/>
        <v>5</v>
      </c>
    </row>
    <row r="17" spans="1:13" x14ac:dyDescent="0.25">
      <c r="A17" s="25">
        <v>16</v>
      </c>
      <c r="B17" s="113" t="s">
        <v>117</v>
      </c>
      <c r="C17" s="28"/>
      <c r="D17" s="28"/>
      <c r="E17" s="54">
        <v>1</v>
      </c>
      <c r="F17" s="32"/>
      <c r="G17" s="28">
        <v>3</v>
      </c>
      <c r="H17" s="54"/>
      <c r="I17" s="54"/>
      <c r="J17" s="54"/>
      <c r="K17" s="54"/>
      <c r="L17" s="54"/>
      <c r="M17" s="216">
        <f t="shared" si="0"/>
        <v>4</v>
      </c>
    </row>
    <row r="18" spans="1:13" x14ac:dyDescent="0.25">
      <c r="A18" s="25">
        <v>17</v>
      </c>
      <c r="B18" s="113" t="s">
        <v>49</v>
      </c>
      <c r="C18" s="28"/>
      <c r="D18" s="28"/>
      <c r="E18" s="54">
        <v>1</v>
      </c>
      <c r="F18" s="32"/>
      <c r="G18" s="28"/>
      <c r="H18" s="54"/>
      <c r="I18" s="54">
        <v>1</v>
      </c>
      <c r="J18" s="54">
        <v>2</v>
      </c>
      <c r="K18" s="54"/>
      <c r="L18" s="54"/>
      <c r="M18" s="216">
        <f t="shared" si="0"/>
        <v>4</v>
      </c>
    </row>
    <row r="19" spans="1:13" x14ac:dyDescent="0.25">
      <c r="A19" s="25">
        <v>18</v>
      </c>
      <c r="B19" s="113" t="s">
        <v>122</v>
      </c>
      <c r="C19" s="28">
        <v>2</v>
      </c>
      <c r="D19" s="28">
        <v>1</v>
      </c>
      <c r="E19" s="54"/>
      <c r="F19" s="32"/>
      <c r="G19" s="28"/>
      <c r="H19" s="54"/>
      <c r="I19" s="54"/>
      <c r="J19" s="54"/>
      <c r="K19" s="54"/>
      <c r="L19" s="54"/>
      <c r="M19" s="216">
        <f t="shared" si="0"/>
        <v>3</v>
      </c>
    </row>
    <row r="20" spans="1:13" x14ac:dyDescent="0.25">
      <c r="A20" s="25">
        <v>19</v>
      </c>
      <c r="B20" s="113" t="s">
        <v>126</v>
      </c>
      <c r="C20" s="28"/>
      <c r="D20" s="28">
        <v>3</v>
      </c>
      <c r="E20" s="54"/>
      <c r="F20" s="32"/>
      <c r="G20" s="28"/>
      <c r="H20" s="54"/>
      <c r="I20" s="54"/>
      <c r="J20" s="54"/>
      <c r="K20" s="54"/>
      <c r="L20" s="54"/>
      <c r="M20" s="216">
        <f t="shared" si="0"/>
        <v>3</v>
      </c>
    </row>
    <row r="21" spans="1:13" x14ac:dyDescent="0.25">
      <c r="A21" s="25">
        <v>20</v>
      </c>
      <c r="B21" s="113" t="s">
        <v>79</v>
      </c>
      <c r="C21" s="28"/>
      <c r="D21" s="28"/>
      <c r="E21" s="54"/>
      <c r="F21" s="32"/>
      <c r="G21" s="28">
        <v>3</v>
      </c>
      <c r="H21" s="54"/>
      <c r="I21" s="54"/>
      <c r="J21" s="54"/>
      <c r="K21" s="54"/>
      <c r="L21" s="54"/>
      <c r="M21" s="216">
        <f t="shared" si="0"/>
        <v>3</v>
      </c>
    </row>
    <row r="22" spans="1:13" x14ac:dyDescent="0.25">
      <c r="A22" s="25">
        <v>21</v>
      </c>
      <c r="B22" s="113" t="s">
        <v>120</v>
      </c>
      <c r="C22" s="28"/>
      <c r="D22" s="28"/>
      <c r="E22" s="54">
        <v>2</v>
      </c>
      <c r="F22" s="32"/>
      <c r="G22" s="28"/>
      <c r="H22" s="54">
        <v>1</v>
      </c>
      <c r="I22" s="54"/>
      <c r="J22" s="54"/>
      <c r="K22" s="54"/>
      <c r="L22" s="54"/>
      <c r="M22" s="216">
        <f t="shared" si="0"/>
        <v>3</v>
      </c>
    </row>
    <row r="23" spans="1:13" x14ac:dyDescent="0.25">
      <c r="A23" s="25">
        <v>22</v>
      </c>
      <c r="B23" s="113" t="s">
        <v>62</v>
      </c>
      <c r="C23" s="28"/>
      <c r="D23" s="28"/>
      <c r="E23" s="54"/>
      <c r="F23" s="32"/>
      <c r="G23" s="28"/>
      <c r="H23" s="54"/>
      <c r="I23" s="54">
        <v>2</v>
      </c>
      <c r="J23" s="54">
        <v>1</v>
      </c>
      <c r="K23" s="54"/>
      <c r="L23" s="54"/>
      <c r="M23" s="216">
        <f t="shared" si="0"/>
        <v>3</v>
      </c>
    </row>
    <row r="24" spans="1:13" x14ac:dyDescent="0.25">
      <c r="A24" s="25">
        <v>23</v>
      </c>
      <c r="B24" s="267" t="s">
        <v>67</v>
      </c>
      <c r="C24" s="269"/>
      <c r="D24" s="269"/>
      <c r="E24" s="270"/>
      <c r="F24" s="271"/>
      <c r="G24" s="269"/>
      <c r="H24" s="270"/>
      <c r="I24" s="270"/>
      <c r="J24" s="270">
        <v>3</v>
      </c>
      <c r="K24" s="270"/>
      <c r="L24" s="270"/>
      <c r="M24" s="216">
        <f t="shared" si="0"/>
        <v>3</v>
      </c>
    </row>
    <row r="25" spans="1:13" x14ac:dyDescent="0.25">
      <c r="A25" s="25">
        <v>24</v>
      </c>
      <c r="B25" s="268" t="s">
        <v>128</v>
      </c>
      <c r="C25" s="117">
        <v>1</v>
      </c>
      <c r="D25" s="117"/>
      <c r="E25" s="118"/>
      <c r="F25" s="119"/>
      <c r="G25" s="117"/>
      <c r="H25" s="118"/>
      <c r="I25" s="118"/>
      <c r="J25" s="118"/>
      <c r="K25" s="118"/>
      <c r="L25" s="118"/>
      <c r="M25" s="216">
        <f t="shared" si="0"/>
        <v>1</v>
      </c>
    </row>
    <row r="26" spans="1:13" x14ac:dyDescent="0.25">
      <c r="A26" s="25">
        <v>25</v>
      </c>
      <c r="B26" s="116" t="s">
        <v>70</v>
      </c>
      <c r="C26" s="117"/>
      <c r="D26" s="117">
        <v>1</v>
      </c>
      <c r="E26" s="118"/>
      <c r="F26" s="119"/>
      <c r="G26" s="117"/>
      <c r="H26" s="118"/>
      <c r="I26" s="118"/>
      <c r="J26" s="118"/>
      <c r="K26" s="118"/>
      <c r="L26" s="118"/>
      <c r="M26" s="216">
        <f t="shared" si="0"/>
        <v>1</v>
      </c>
    </row>
    <row r="27" spans="1:13" x14ac:dyDescent="0.25">
      <c r="A27" s="25">
        <v>26</v>
      </c>
      <c r="B27" s="116" t="s">
        <v>136</v>
      </c>
      <c r="C27" s="117"/>
      <c r="D27" s="117"/>
      <c r="E27" s="118"/>
      <c r="F27" s="119">
        <v>1</v>
      </c>
      <c r="G27" s="117"/>
      <c r="H27" s="118"/>
      <c r="I27" s="118"/>
      <c r="J27" s="118"/>
      <c r="K27" s="118"/>
      <c r="L27" s="118"/>
      <c r="M27" s="216">
        <f t="shared" si="0"/>
        <v>1</v>
      </c>
    </row>
    <row r="28" spans="1:13" x14ac:dyDescent="0.25">
      <c r="A28" s="25">
        <v>27</v>
      </c>
      <c r="B28" s="116" t="s">
        <v>47</v>
      </c>
      <c r="C28" s="117"/>
      <c r="D28" s="117"/>
      <c r="E28" s="118"/>
      <c r="F28" s="119"/>
      <c r="G28" s="117"/>
      <c r="H28" s="118"/>
      <c r="I28" s="118"/>
      <c r="J28" s="118">
        <v>1</v>
      </c>
      <c r="K28" s="118"/>
      <c r="L28" s="118"/>
      <c r="M28" s="216">
        <f t="shared" si="0"/>
        <v>1</v>
      </c>
    </row>
    <row r="29" spans="1:13" x14ac:dyDescent="0.25">
      <c r="A29" s="25">
        <v>28</v>
      </c>
      <c r="B29" s="258" t="s">
        <v>63</v>
      </c>
      <c r="C29" s="259"/>
      <c r="D29" s="259"/>
      <c r="E29" s="260"/>
      <c r="F29" s="261"/>
      <c r="G29" s="259"/>
      <c r="H29" s="260"/>
      <c r="I29" s="260"/>
      <c r="J29" s="260">
        <v>1</v>
      </c>
      <c r="K29" s="260"/>
      <c r="L29" s="260"/>
      <c r="M29" s="216">
        <f t="shared" si="0"/>
        <v>1</v>
      </c>
    </row>
    <row r="30" spans="1:13" x14ac:dyDescent="0.25">
      <c r="A30" s="25">
        <v>29</v>
      </c>
      <c r="B30" s="258" t="s">
        <v>56</v>
      </c>
      <c r="C30" s="259"/>
      <c r="D30" s="259"/>
      <c r="E30" s="260"/>
      <c r="F30" s="261"/>
      <c r="G30" s="259"/>
      <c r="H30" s="260"/>
      <c r="I30" s="260"/>
      <c r="J30" s="260">
        <v>1</v>
      </c>
      <c r="K30" s="260"/>
      <c r="L30" s="260"/>
      <c r="M30" s="216">
        <f t="shared" si="0"/>
        <v>1</v>
      </c>
    </row>
    <row r="31" spans="1:13" x14ac:dyDescent="0.25">
      <c r="A31" s="25"/>
      <c r="B31" s="217" t="s">
        <v>142</v>
      </c>
      <c r="C31" s="117"/>
      <c r="D31" s="117"/>
      <c r="E31" s="118"/>
      <c r="F31" s="119"/>
      <c r="G31" s="117"/>
      <c r="H31" s="118"/>
      <c r="I31" s="118">
        <v>0</v>
      </c>
      <c r="J31" s="118">
        <v>1</v>
      </c>
      <c r="K31" s="118"/>
      <c r="L31" s="118"/>
      <c r="M31" s="216">
        <f t="shared" si="0"/>
        <v>1</v>
      </c>
    </row>
    <row r="32" spans="1:13" x14ac:dyDescent="0.25">
      <c r="A32" s="25"/>
      <c r="B32" s="217" t="s">
        <v>143</v>
      </c>
      <c r="C32" s="117">
        <v>10</v>
      </c>
      <c r="D32" s="117"/>
      <c r="E32" s="118"/>
      <c r="F32" s="119"/>
      <c r="G32" s="117">
        <v>10</v>
      </c>
      <c r="H32" s="118"/>
      <c r="I32" s="118">
        <v>5</v>
      </c>
      <c r="J32" s="118"/>
      <c r="K32" s="118"/>
      <c r="L32" s="118"/>
      <c r="M32" s="189">
        <f t="shared" ref="M32" si="1">SUM(C32:L32)</f>
        <v>25</v>
      </c>
    </row>
    <row r="33" spans="2:14" x14ac:dyDescent="0.25">
      <c r="B33" s="120" t="s">
        <v>101</v>
      </c>
      <c r="C33" s="121">
        <f>SUM(C2:C32)</f>
        <v>39</v>
      </c>
      <c r="D33" s="121">
        <f>SUM(D2:D32)</f>
        <v>28</v>
      </c>
      <c r="E33" s="121">
        <f>SUM(E2:E32)</f>
        <v>36</v>
      </c>
      <c r="F33" s="121">
        <f>SUM(F2:F32)</f>
        <v>14</v>
      </c>
      <c r="G33" s="121">
        <f>SUM(G2:G32)</f>
        <v>47</v>
      </c>
      <c r="H33" s="121">
        <f t="shared" ref="H33:L33" si="2">SUM(H2:H32)</f>
        <v>47</v>
      </c>
      <c r="I33" s="121">
        <f t="shared" si="2"/>
        <v>58</v>
      </c>
      <c r="J33" s="121">
        <f t="shared" si="2"/>
        <v>36</v>
      </c>
      <c r="K33" s="121">
        <f t="shared" si="2"/>
        <v>0</v>
      </c>
      <c r="L33" s="122">
        <f t="shared" si="2"/>
        <v>0</v>
      </c>
      <c r="M33" s="109">
        <f>SUM(C33:L33)</f>
        <v>305</v>
      </c>
    </row>
    <row r="34" spans="2:14" x14ac:dyDescent="0.25">
      <c r="B34" s="114"/>
    </row>
    <row r="35" spans="2:14" x14ac:dyDescent="0.25">
      <c r="B35" s="115" t="s">
        <v>102</v>
      </c>
      <c r="C35" s="107">
        <v>52</v>
      </c>
      <c r="D35" s="107">
        <v>39</v>
      </c>
      <c r="E35" s="107">
        <v>50</v>
      </c>
      <c r="F35" s="107">
        <v>2</v>
      </c>
      <c r="G35" s="107">
        <v>48</v>
      </c>
      <c r="H35" s="110">
        <v>47</v>
      </c>
      <c r="I35" s="110">
        <v>28</v>
      </c>
      <c r="J35" s="110">
        <v>51</v>
      </c>
      <c r="K35" s="110"/>
      <c r="L35" s="110"/>
      <c r="M35" s="109">
        <f>SUM(C35:L35)</f>
        <v>317</v>
      </c>
      <c r="N35" s="220">
        <f>M33-M35</f>
        <v>-12</v>
      </c>
    </row>
  </sheetData>
  <sortState xmlns:xlrd2="http://schemas.microsoft.com/office/spreadsheetml/2017/richdata2" ref="B2:M30">
    <sortCondition descending="1" ref="M2:M30"/>
  </sortState>
  <phoneticPr fontId="6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6"/>
  <sheetViews>
    <sheetView zoomScale="85" zoomScaleNormal="85" workbookViewId="0">
      <selection activeCell="M2" sqref="M2"/>
    </sheetView>
  </sheetViews>
  <sheetFormatPr defaultRowHeight="13.2" x14ac:dyDescent="0.25"/>
  <cols>
    <col min="2" max="2" width="25.44140625" customWidth="1"/>
    <col min="3" max="5" width="9.109375" customWidth="1"/>
    <col min="6" max="6" width="7.5546875" customWidth="1"/>
    <col min="7" max="7" width="9.109375" customWidth="1"/>
    <col min="8" max="8" width="7" customWidth="1"/>
    <col min="9" max="9" width="7.33203125" customWidth="1"/>
    <col min="16" max="16" width="36.5546875" bestFit="1" customWidth="1"/>
  </cols>
  <sheetData>
    <row r="1" spans="1:16" ht="63.6" thickBot="1" x14ac:dyDescent="0.3">
      <c r="A1" s="25"/>
      <c r="B1" s="29" t="s">
        <v>39</v>
      </c>
      <c r="C1" s="30" t="s">
        <v>105</v>
      </c>
      <c r="D1" s="30" t="s">
        <v>106</v>
      </c>
      <c r="E1" s="30" t="s">
        <v>107</v>
      </c>
      <c r="F1" s="30" t="s">
        <v>108</v>
      </c>
      <c r="G1" s="185" t="s">
        <v>109</v>
      </c>
      <c r="H1" s="185" t="s">
        <v>110</v>
      </c>
      <c r="I1" s="185" t="s">
        <v>111</v>
      </c>
      <c r="J1" s="185" t="s">
        <v>112</v>
      </c>
      <c r="K1" s="185" t="s">
        <v>113</v>
      </c>
      <c r="L1" s="185" t="s">
        <v>114</v>
      </c>
      <c r="M1" s="31"/>
    </row>
    <row r="2" spans="1:16" x14ac:dyDescent="0.25">
      <c r="A2" s="25">
        <v>1</v>
      </c>
      <c r="B2" s="201" t="s">
        <v>61</v>
      </c>
      <c r="C2" s="51"/>
      <c r="D2" s="128">
        <v>2</v>
      </c>
      <c r="E2" s="28">
        <v>4</v>
      </c>
      <c r="F2" s="28"/>
      <c r="G2" s="28">
        <v>3</v>
      </c>
      <c r="H2" s="28">
        <v>9</v>
      </c>
      <c r="I2" s="28">
        <v>9</v>
      </c>
      <c r="J2" s="28">
        <v>12</v>
      </c>
      <c r="K2" s="28"/>
      <c r="L2" s="54"/>
      <c r="M2" s="188">
        <f t="shared" ref="M2:M27" si="0">SUM(D2:L2)</f>
        <v>39</v>
      </c>
    </row>
    <row r="3" spans="1:16" x14ac:dyDescent="0.25">
      <c r="A3" s="25">
        <v>2</v>
      </c>
      <c r="B3" s="127" t="s">
        <v>55</v>
      </c>
      <c r="C3" s="51"/>
      <c r="D3" s="128">
        <v>4</v>
      </c>
      <c r="E3" s="28">
        <v>3</v>
      </c>
      <c r="F3" s="28">
        <v>1</v>
      </c>
      <c r="G3" s="28">
        <v>2</v>
      </c>
      <c r="H3" s="28">
        <v>3</v>
      </c>
      <c r="I3" s="28">
        <v>6</v>
      </c>
      <c r="J3" s="28">
        <v>4</v>
      </c>
      <c r="K3" s="28"/>
      <c r="L3" s="54"/>
      <c r="M3" s="189">
        <f t="shared" si="0"/>
        <v>23</v>
      </c>
    </row>
    <row r="4" spans="1:16" x14ac:dyDescent="0.25">
      <c r="A4" s="25">
        <v>3</v>
      </c>
      <c r="B4" s="124" t="s">
        <v>57</v>
      </c>
      <c r="C4" s="51"/>
      <c r="D4" s="128">
        <v>1</v>
      </c>
      <c r="E4" s="28">
        <v>1</v>
      </c>
      <c r="F4" s="28">
        <v>1</v>
      </c>
      <c r="G4" s="28"/>
      <c r="H4" s="28">
        <v>8</v>
      </c>
      <c r="I4" s="28">
        <v>10</v>
      </c>
      <c r="J4" s="28">
        <v>1</v>
      </c>
      <c r="K4" s="28"/>
      <c r="L4" s="54"/>
      <c r="M4" s="189">
        <f t="shared" si="0"/>
        <v>22</v>
      </c>
    </row>
    <row r="5" spans="1:16" x14ac:dyDescent="0.25">
      <c r="A5" s="25">
        <v>4</v>
      </c>
      <c r="B5" s="124" t="s">
        <v>60</v>
      </c>
      <c r="C5" s="145"/>
      <c r="D5" s="128"/>
      <c r="E5" s="28"/>
      <c r="F5" s="28">
        <v>2</v>
      </c>
      <c r="G5" s="28">
        <v>5</v>
      </c>
      <c r="H5" s="28">
        <v>5</v>
      </c>
      <c r="I5" s="28">
        <v>1</v>
      </c>
      <c r="J5" s="28">
        <v>3</v>
      </c>
      <c r="K5" s="28"/>
      <c r="L5" s="54"/>
      <c r="M5" s="189">
        <f t="shared" si="0"/>
        <v>16</v>
      </c>
    </row>
    <row r="6" spans="1:16" x14ac:dyDescent="0.25">
      <c r="A6" s="25">
        <v>5</v>
      </c>
      <c r="B6" s="127" t="s">
        <v>144</v>
      </c>
      <c r="C6" s="51"/>
      <c r="D6" s="128">
        <v>2</v>
      </c>
      <c r="E6" s="28">
        <v>4</v>
      </c>
      <c r="F6" s="28">
        <v>1</v>
      </c>
      <c r="G6" s="28">
        <v>5</v>
      </c>
      <c r="H6" s="28"/>
      <c r="I6" s="28"/>
      <c r="J6" s="28"/>
      <c r="K6" s="28"/>
      <c r="L6" s="54"/>
      <c r="M6" s="189">
        <f t="shared" si="0"/>
        <v>12</v>
      </c>
    </row>
    <row r="7" spans="1:16" x14ac:dyDescent="0.25">
      <c r="A7" s="25">
        <v>6</v>
      </c>
      <c r="B7" s="124" t="s">
        <v>64</v>
      </c>
      <c r="C7" s="51"/>
      <c r="D7" s="128">
        <v>1</v>
      </c>
      <c r="E7" s="28">
        <f>'Assists 2025-2026'!AB4</f>
        <v>3</v>
      </c>
      <c r="F7" s="28">
        <v>1</v>
      </c>
      <c r="G7" s="28">
        <v>4</v>
      </c>
      <c r="H7" s="28">
        <v>2</v>
      </c>
      <c r="I7" s="28"/>
      <c r="J7" s="28"/>
      <c r="K7" s="28"/>
      <c r="L7" s="54"/>
      <c r="M7" s="189">
        <f t="shared" si="0"/>
        <v>11</v>
      </c>
    </row>
    <row r="8" spans="1:16" x14ac:dyDescent="0.25">
      <c r="A8" s="25">
        <v>7</v>
      </c>
      <c r="B8" s="127" t="s">
        <v>54</v>
      </c>
      <c r="C8" s="145"/>
      <c r="D8" s="128"/>
      <c r="E8" s="28"/>
      <c r="F8" s="28">
        <v>1</v>
      </c>
      <c r="G8" s="28">
        <v>2</v>
      </c>
      <c r="H8" s="28">
        <v>4</v>
      </c>
      <c r="I8" s="28">
        <v>1</v>
      </c>
      <c r="J8" s="28">
        <v>1</v>
      </c>
      <c r="K8" s="28"/>
      <c r="L8" s="54"/>
      <c r="M8" s="189">
        <f t="shared" si="0"/>
        <v>9</v>
      </c>
      <c r="P8" s="256"/>
    </row>
    <row r="9" spans="1:16" x14ac:dyDescent="0.25">
      <c r="A9" s="25">
        <v>8</v>
      </c>
      <c r="B9" s="124" t="s">
        <v>53</v>
      </c>
      <c r="C9" s="51"/>
      <c r="D9" s="128">
        <v>1</v>
      </c>
      <c r="E9" s="28">
        <v>2</v>
      </c>
      <c r="F9" s="28"/>
      <c r="G9" s="28"/>
      <c r="H9" s="28">
        <v>1</v>
      </c>
      <c r="I9" s="28">
        <v>4</v>
      </c>
      <c r="J9" s="28"/>
      <c r="K9" s="28"/>
      <c r="L9" s="54"/>
      <c r="M9" s="189">
        <f t="shared" si="0"/>
        <v>8</v>
      </c>
    </row>
    <row r="10" spans="1:16" x14ac:dyDescent="0.25">
      <c r="A10" s="25">
        <v>9</v>
      </c>
      <c r="B10" s="124" t="s">
        <v>49</v>
      </c>
      <c r="C10" s="145"/>
      <c r="D10" s="128"/>
      <c r="E10" s="28">
        <v>2</v>
      </c>
      <c r="F10" s="28"/>
      <c r="G10" s="28"/>
      <c r="H10" s="28">
        <v>3</v>
      </c>
      <c r="I10" s="28"/>
      <c r="J10" s="28">
        <v>2</v>
      </c>
      <c r="K10" s="28"/>
      <c r="L10" s="54"/>
      <c r="M10" s="189">
        <f t="shared" si="0"/>
        <v>7</v>
      </c>
    </row>
    <row r="11" spans="1:16" x14ac:dyDescent="0.25">
      <c r="A11" s="25">
        <v>10</v>
      </c>
      <c r="B11" s="127" t="s">
        <v>141</v>
      </c>
      <c r="C11" s="51"/>
      <c r="D11" s="128">
        <v>3</v>
      </c>
      <c r="E11" s="28">
        <v>1</v>
      </c>
      <c r="F11" s="28"/>
      <c r="G11" s="28"/>
      <c r="H11" s="28">
        <v>1</v>
      </c>
      <c r="I11" s="28">
        <v>1</v>
      </c>
      <c r="J11" s="28"/>
      <c r="K11" s="28"/>
      <c r="L11" s="54"/>
      <c r="M11" s="189">
        <f t="shared" si="0"/>
        <v>6</v>
      </c>
      <c r="P11" s="256"/>
    </row>
    <row r="12" spans="1:16" x14ac:dyDescent="0.25">
      <c r="A12" s="25">
        <v>11</v>
      </c>
      <c r="B12" s="124" t="s">
        <v>58</v>
      </c>
      <c r="C12" s="145"/>
      <c r="D12" s="128"/>
      <c r="E12" s="28"/>
      <c r="F12" s="28">
        <v>4</v>
      </c>
      <c r="G12" s="28">
        <v>1</v>
      </c>
      <c r="H12" s="28"/>
      <c r="I12" s="28"/>
      <c r="J12" s="28">
        <v>1</v>
      </c>
      <c r="K12" s="28"/>
      <c r="L12" s="54"/>
      <c r="M12" s="189">
        <f t="shared" si="0"/>
        <v>6</v>
      </c>
    </row>
    <row r="13" spans="1:16" x14ac:dyDescent="0.25">
      <c r="A13" s="25">
        <v>12</v>
      </c>
      <c r="B13" s="27" t="s">
        <v>79</v>
      </c>
      <c r="C13" s="219"/>
      <c r="D13" s="28"/>
      <c r="E13" s="28"/>
      <c r="F13" s="28"/>
      <c r="G13" s="28">
        <v>2</v>
      </c>
      <c r="H13" s="28">
        <v>3</v>
      </c>
      <c r="I13" s="28"/>
      <c r="J13" s="28"/>
      <c r="K13" s="28"/>
      <c r="L13" s="54"/>
      <c r="M13" s="189">
        <f t="shared" si="0"/>
        <v>5</v>
      </c>
    </row>
    <row r="14" spans="1:16" x14ac:dyDescent="0.25">
      <c r="A14" s="25">
        <v>13</v>
      </c>
      <c r="B14" s="27" t="s">
        <v>145</v>
      </c>
      <c r="C14" s="146"/>
      <c r="D14" s="28">
        <v>1</v>
      </c>
      <c r="E14" s="28">
        <v>1</v>
      </c>
      <c r="F14" s="28"/>
      <c r="G14" s="28">
        <v>2</v>
      </c>
      <c r="H14" s="28"/>
      <c r="I14" s="28"/>
      <c r="J14" s="28"/>
      <c r="K14" s="28"/>
      <c r="L14" s="54"/>
      <c r="M14" s="189">
        <f t="shared" si="0"/>
        <v>4</v>
      </c>
    </row>
    <row r="15" spans="1:16" x14ac:dyDescent="0.25">
      <c r="A15" s="25">
        <v>14</v>
      </c>
      <c r="B15" s="8" t="s">
        <v>51</v>
      </c>
      <c r="C15" s="28"/>
      <c r="D15" s="28"/>
      <c r="E15" s="28">
        <v>2</v>
      </c>
      <c r="F15" s="28"/>
      <c r="G15" s="28"/>
      <c r="H15" s="28"/>
      <c r="I15" s="28">
        <v>1</v>
      </c>
      <c r="J15" s="28">
        <v>1</v>
      </c>
      <c r="K15" s="28"/>
      <c r="L15" s="54"/>
      <c r="M15" s="189">
        <f t="shared" si="0"/>
        <v>4</v>
      </c>
      <c r="P15" s="256"/>
    </row>
    <row r="16" spans="1:16" x14ac:dyDescent="0.25">
      <c r="A16" s="25">
        <v>15</v>
      </c>
      <c r="B16" s="27" t="s">
        <v>72</v>
      </c>
      <c r="C16" s="28"/>
      <c r="D16" s="28"/>
      <c r="E16" s="28"/>
      <c r="F16" s="28"/>
      <c r="G16" s="28">
        <v>2</v>
      </c>
      <c r="H16" s="28"/>
      <c r="I16" s="28">
        <v>1</v>
      </c>
      <c r="J16" s="28">
        <v>1</v>
      </c>
      <c r="K16" s="28"/>
      <c r="L16" s="54"/>
      <c r="M16" s="189">
        <f t="shared" si="0"/>
        <v>4</v>
      </c>
    </row>
    <row r="17" spans="1:16" x14ac:dyDescent="0.25">
      <c r="A17" s="25">
        <v>16</v>
      </c>
      <c r="B17" s="27" t="s">
        <v>119</v>
      </c>
      <c r="C17" s="146"/>
      <c r="D17" s="28">
        <v>3</v>
      </c>
      <c r="E17" s="28"/>
      <c r="F17" s="28"/>
      <c r="G17" s="28"/>
      <c r="H17" s="28"/>
      <c r="I17" s="28"/>
      <c r="J17" s="28"/>
      <c r="K17" s="28"/>
      <c r="L17" s="54"/>
      <c r="M17" s="189">
        <f t="shared" si="0"/>
        <v>3</v>
      </c>
    </row>
    <row r="18" spans="1:16" x14ac:dyDescent="0.25">
      <c r="A18" s="25">
        <v>17</v>
      </c>
      <c r="B18" s="8" t="s">
        <v>118</v>
      </c>
      <c r="C18" s="146"/>
      <c r="D18" s="28">
        <v>2</v>
      </c>
      <c r="E18" s="28"/>
      <c r="F18" s="28"/>
      <c r="G18" s="28"/>
      <c r="H18" s="28"/>
      <c r="I18" s="28"/>
      <c r="J18" s="28"/>
      <c r="K18" s="28"/>
      <c r="L18" s="54"/>
      <c r="M18" s="189">
        <f t="shared" si="0"/>
        <v>2</v>
      </c>
    </row>
    <row r="19" spans="1:16" x14ac:dyDescent="0.25">
      <c r="A19" s="25">
        <v>18</v>
      </c>
      <c r="B19" s="27" t="s">
        <v>120</v>
      </c>
      <c r="C19" s="28"/>
      <c r="D19" s="28"/>
      <c r="E19" s="28">
        <v>2</v>
      </c>
      <c r="F19" s="28"/>
      <c r="G19" s="28"/>
      <c r="H19" s="28"/>
      <c r="I19" s="28"/>
      <c r="J19" s="28"/>
      <c r="K19" s="28"/>
      <c r="L19" s="54"/>
      <c r="M19" s="189">
        <f t="shared" si="0"/>
        <v>2</v>
      </c>
    </row>
    <row r="20" spans="1:16" x14ac:dyDescent="0.25">
      <c r="A20" s="25">
        <v>19</v>
      </c>
      <c r="B20" s="27" t="s">
        <v>124</v>
      </c>
      <c r="C20" s="28"/>
      <c r="D20" s="28"/>
      <c r="E20" s="28"/>
      <c r="F20" s="28"/>
      <c r="G20" s="28"/>
      <c r="H20" s="28">
        <v>2</v>
      </c>
      <c r="I20" s="28"/>
      <c r="J20" s="28"/>
      <c r="K20" s="28"/>
      <c r="L20" s="54"/>
      <c r="M20" s="189">
        <f t="shared" si="0"/>
        <v>2</v>
      </c>
      <c r="P20" s="256"/>
    </row>
    <row r="21" spans="1:16" x14ac:dyDescent="0.25">
      <c r="A21" s="25">
        <v>20</v>
      </c>
      <c r="B21" s="8" t="s">
        <v>127</v>
      </c>
      <c r="C21" s="28"/>
      <c r="D21" s="28"/>
      <c r="E21" s="28"/>
      <c r="F21" s="28"/>
      <c r="G21" s="28"/>
      <c r="H21" s="28"/>
      <c r="I21" s="28">
        <v>2</v>
      </c>
      <c r="J21" s="28"/>
      <c r="K21" s="28"/>
      <c r="L21" s="54"/>
      <c r="M21" s="189">
        <f t="shared" si="0"/>
        <v>2</v>
      </c>
    </row>
    <row r="22" spans="1:16" x14ac:dyDescent="0.25">
      <c r="A22" s="25">
        <v>21</v>
      </c>
      <c r="B22" s="8" t="s">
        <v>80</v>
      </c>
      <c r="C22" s="28"/>
      <c r="D22" s="28"/>
      <c r="E22" s="28"/>
      <c r="F22" s="28"/>
      <c r="G22" s="28"/>
      <c r="H22" s="28"/>
      <c r="I22" s="28">
        <v>2</v>
      </c>
      <c r="J22" s="28"/>
      <c r="K22" s="28"/>
      <c r="L22" s="54"/>
      <c r="M22" s="189">
        <f t="shared" si="0"/>
        <v>2</v>
      </c>
    </row>
    <row r="23" spans="1:16" x14ac:dyDescent="0.25">
      <c r="A23" s="25">
        <v>22</v>
      </c>
      <c r="B23" s="27" t="s">
        <v>122</v>
      </c>
      <c r="C23" s="146"/>
      <c r="D23" s="28">
        <v>1</v>
      </c>
      <c r="E23" s="28"/>
      <c r="F23" s="28"/>
      <c r="G23" s="28"/>
      <c r="H23" s="28"/>
      <c r="I23" s="28"/>
      <c r="J23" s="28"/>
      <c r="K23" s="28"/>
      <c r="L23" s="54"/>
      <c r="M23" s="189">
        <f t="shared" si="0"/>
        <v>1</v>
      </c>
    </row>
    <row r="24" spans="1:16" x14ac:dyDescent="0.25">
      <c r="A24" s="25">
        <v>23</v>
      </c>
      <c r="B24" s="8" t="s">
        <v>116</v>
      </c>
      <c r="C24" s="28"/>
      <c r="D24" s="28"/>
      <c r="E24" s="28">
        <v>1</v>
      </c>
      <c r="F24" s="28"/>
      <c r="G24" s="28"/>
      <c r="H24" s="28"/>
      <c r="I24" s="28"/>
      <c r="J24" s="28"/>
      <c r="K24" s="28"/>
      <c r="L24" s="54"/>
      <c r="M24" s="189">
        <f t="shared" si="0"/>
        <v>1</v>
      </c>
    </row>
    <row r="25" spans="1:16" x14ac:dyDescent="0.25">
      <c r="A25" s="25">
        <v>24</v>
      </c>
      <c r="B25" s="27" t="s">
        <v>123</v>
      </c>
      <c r="C25" s="28"/>
      <c r="D25" s="28"/>
      <c r="E25" s="28"/>
      <c r="F25" s="28"/>
      <c r="G25" s="28">
        <v>1</v>
      </c>
      <c r="H25" s="28"/>
      <c r="I25" s="28"/>
      <c r="J25" s="28"/>
      <c r="K25" s="28"/>
      <c r="L25" s="54"/>
      <c r="M25" s="189">
        <f t="shared" si="0"/>
        <v>1</v>
      </c>
    </row>
    <row r="26" spans="1:16" x14ac:dyDescent="0.25">
      <c r="A26" s="25">
        <v>25</v>
      </c>
      <c r="B26" s="27" t="s">
        <v>62</v>
      </c>
      <c r="C26" s="28"/>
      <c r="D26" s="28"/>
      <c r="E26" s="28"/>
      <c r="F26" s="28"/>
      <c r="G26" s="28"/>
      <c r="H26" s="28"/>
      <c r="I26" s="28">
        <v>1</v>
      </c>
      <c r="J26" s="28"/>
      <c r="K26" s="28"/>
      <c r="L26" s="54"/>
      <c r="M26" s="189">
        <f t="shared" si="0"/>
        <v>1</v>
      </c>
    </row>
    <row r="27" spans="1:16" x14ac:dyDescent="0.25">
      <c r="A27" s="25">
        <v>26</v>
      </c>
      <c r="B27" s="27" t="s">
        <v>67</v>
      </c>
      <c r="C27" s="28"/>
      <c r="D27" s="28"/>
      <c r="E27" s="28"/>
      <c r="F27" s="28"/>
      <c r="G27" s="28"/>
      <c r="H27" s="28"/>
      <c r="I27" s="28"/>
      <c r="J27" s="28">
        <v>1</v>
      </c>
      <c r="K27" s="28"/>
      <c r="L27" s="54"/>
      <c r="M27" s="189">
        <f t="shared" si="0"/>
        <v>1</v>
      </c>
    </row>
    <row r="32" spans="1:16" x14ac:dyDescent="0.25">
      <c r="P32" s="256"/>
    </row>
    <row r="35" spans="16:16" x14ac:dyDescent="0.25">
      <c r="P35" s="256"/>
    </row>
    <row r="36" spans="16:16" x14ac:dyDescent="0.25">
      <c r="P36" s="256"/>
    </row>
  </sheetData>
  <sortState xmlns:xlrd2="http://schemas.microsoft.com/office/spreadsheetml/2017/richdata2" ref="B2:M22">
    <sortCondition descending="1" ref="M2:M2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1"/>
  <sheetViews>
    <sheetView zoomScale="85" zoomScaleNormal="85" workbookViewId="0">
      <selection activeCell="M2" sqref="M2"/>
    </sheetView>
  </sheetViews>
  <sheetFormatPr defaultRowHeight="13.2" x14ac:dyDescent="0.25"/>
  <cols>
    <col min="2" max="2" width="24.33203125" customWidth="1"/>
    <col min="3" max="9" width="9.109375" customWidth="1"/>
  </cols>
  <sheetData>
    <row r="1" spans="1:13" ht="63.6" thickBot="1" x14ac:dyDescent="0.3">
      <c r="A1" s="25"/>
      <c r="B1" s="29" t="s">
        <v>39</v>
      </c>
      <c r="C1" s="30" t="s">
        <v>105</v>
      </c>
      <c r="D1" s="30" t="s">
        <v>106</v>
      </c>
      <c r="E1" s="30" t="s">
        <v>107</v>
      </c>
      <c r="F1" s="30" t="s">
        <v>108</v>
      </c>
      <c r="G1" s="185" t="s">
        <v>109</v>
      </c>
      <c r="H1" s="185" t="s">
        <v>110</v>
      </c>
      <c r="I1" s="185" t="s">
        <v>111</v>
      </c>
      <c r="J1" s="185" t="s">
        <v>112</v>
      </c>
      <c r="K1" s="185" t="s">
        <v>113</v>
      </c>
      <c r="L1" s="185" t="s">
        <v>114</v>
      </c>
      <c r="M1" s="31"/>
    </row>
    <row r="2" spans="1:13" x14ac:dyDescent="0.25">
      <c r="A2" s="25">
        <v>1</v>
      </c>
      <c r="B2" s="8" t="s">
        <v>51</v>
      </c>
      <c r="C2" s="28"/>
      <c r="D2" s="28">
        <v>1</v>
      </c>
      <c r="E2" s="28">
        <v>2</v>
      </c>
      <c r="F2" s="28"/>
      <c r="G2" s="28"/>
      <c r="H2" s="28">
        <v>3</v>
      </c>
      <c r="I2" s="28"/>
      <c r="J2" s="28">
        <v>2</v>
      </c>
      <c r="K2" s="28"/>
      <c r="L2" s="54"/>
      <c r="M2" s="186">
        <f t="shared" ref="M2:M30" si="0">SUM(C2:L2)</f>
        <v>8</v>
      </c>
    </row>
    <row r="3" spans="1:13" x14ac:dyDescent="0.25">
      <c r="A3" s="25">
        <v>2</v>
      </c>
      <c r="B3" s="8" t="s">
        <v>59</v>
      </c>
      <c r="C3" s="28"/>
      <c r="D3" s="28">
        <v>1</v>
      </c>
      <c r="E3" s="28">
        <v>1</v>
      </c>
      <c r="F3" s="28"/>
      <c r="G3" s="28"/>
      <c r="H3" s="28">
        <v>4</v>
      </c>
      <c r="I3" s="28">
        <v>1</v>
      </c>
      <c r="J3" s="28"/>
      <c r="K3" s="28"/>
      <c r="L3" s="54"/>
      <c r="M3" s="187">
        <f t="shared" si="0"/>
        <v>7</v>
      </c>
    </row>
    <row r="4" spans="1:13" x14ac:dyDescent="0.25">
      <c r="A4" s="25">
        <v>3</v>
      </c>
      <c r="B4" s="8" t="s">
        <v>55</v>
      </c>
      <c r="C4" s="28">
        <v>1</v>
      </c>
      <c r="D4" s="28"/>
      <c r="E4" s="28">
        <v>1</v>
      </c>
      <c r="F4" s="28"/>
      <c r="G4" s="28"/>
      <c r="H4" s="28">
        <v>2</v>
      </c>
      <c r="I4" s="28">
        <v>2</v>
      </c>
      <c r="J4" s="28"/>
      <c r="K4" s="28"/>
      <c r="L4" s="54"/>
      <c r="M4" s="187">
        <f t="shared" si="0"/>
        <v>6</v>
      </c>
    </row>
    <row r="5" spans="1:13" x14ac:dyDescent="0.25">
      <c r="A5" s="25">
        <v>4</v>
      </c>
      <c r="B5" s="27" t="s">
        <v>60</v>
      </c>
      <c r="C5" s="28"/>
      <c r="D5" s="28"/>
      <c r="E5" s="28"/>
      <c r="F5" s="28"/>
      <c r="G5" s="28">
        <v>2</v>
      </c>
      <c r="H5" s="28">
        <v>2</v>
      </c>
      <c r="I5" s="28">
        <v>1</v>
      </c>
      <c r="J5" s="28">
        <v>1</v>
      </c>
      <c r="K5" s="28"/>
      <c r="L5" s="54"/>
      <c r="M5" s="187">
        <f t="shared" si="0"/>
        <v>6</v>
      </c>
    </row>
    <row r="6" spans="1:13" x14ac:dyDescent="0.25">
      <c r="A6" s="25">
        <v>5</v>
      </c>
      <c r="B6" s="27" t="s">
        <v>57</v>
      </c>
      <c r="C6" s="28"/>
      <c r="D6" s="28"/>
      <c r="E6" s="28"/>
      <c r="F6" s="28"/>
      <c r="G6" s="28"/>
      <c r="H6" s="28">
        <v>1</v>
      </c>
      <c r="I6" s="28">
        <v>2</v>
      </c>
      <c r="J6" s="28">
        <v>3</v>
      </c>
      <c r="K6" s="28"/>
      <c r="L6" s="54"/>
      <c r="M6" s="187">
        <f t="shared" si="0"/>
        <v>6</v>
      </c>
    </row>
    <row r="7" spans="1:13" x14ac:dyDescent="0.25">
      <c r="A7" s="25">
        <v>6</v>
      </c>
      <c r="B7" s="8" t="s">
        <v>62</v>
      </c>
      <c r="C7" s="28"/>
      <c r="D7" s="28">
        <v>1</v>
      </c>
      <c r="E7" s="28"/>
      <c r="F7" s="28"/>
      <c r="G7" s="28">
        <v>2</v>
      </c>
      <c r="H7" s="28">
        <v>1</v>
      </c>
      <c r="I7" s="28">
        <v>1</v>
      </c>
      <c r="J7" s="28"/>
      <c r="K7" s="28"/>
      <c r="L7" s="54"/>
      <c r="M7" s="187">
        <f t="shared" si="0"/>
        <v>5</v>
      </c>
    </row>
    <row r="8" spans="1:13" x14ac:dyDescent="0.25">
      <c r="A8" s="25">
        <v>7</v>
      </c>
      <c r="B8" s="8" t="s">
        <v>49</v>
      </c>
      <c r="C8" s="28"/>
      <c r="D8" s="28"/>
      <c r="E8" s="28">
        <v>1</v>
      </c>
      <c r="F8" s="28"/>
      <c r="G8" s="28"/>
      <c r="H8" s="28">
        <v>3</v>
      </c>
      <c r="I8" s="28">
        <v>1</v>
      </c>
      <c r="J8" s="28"/>
      <c r="K8" s="28"/>
      <c r="L8" s="54"/>
      <c r="M8" s="187">
        <f t="shared" si="0"/>
        <v>5</v>
      </c>
    </row>
    <row r="9" spans="1:13" x14ac:dyDescent="0.25">
      <c r="A9" s="25">
        <v>8</v>
      </c>
      <c r="B9" s="27" t="s">
        <v>80</v>
      </c>
      <c r="C9" s="28"/>
      <c r="D9" s="28"/>
      <c r="E9" s="28"/>
      <c r="F9" s="28"/>
      <c r="G9" s="28"/>
      <c r="H9" s="28">
        <v>1</v>
      </c>
      <c r="I9" s="28">
        <v>3</v>
      </c>
      <c r="J9" s="28">
        <v>1</v>
      </c>
      <c r="K9" s="28"/>
      <c r="L9" s="54"/>
      <c r="M9" s="187">
        <f t="shared" si="0"/>
        <v>5</v>
      </c>
    </row>
    <row r="10" spans="1:13" x14ac:dyDescent="0.25">
      <c r="A10" s="25">
        <v>9</v>
      </c>
      <c r="B10" s="8" t="s">
        <v>118</v>
      </c>
      <c r="C10" s="28">
        <v>1</v>
      </c>
      <c r="D10" s="28">
        <v>3</v>
      </c>
      <c r="E10" s="28"/>
      <c r="F10" s="28"/>
      <c r="G10" s="28"/>
      <c r="H10" s="28"/>
      <c r="I10" s="28"/>
      <c r="J10" s="28"/>
      <c r="K10" s="28"/>
      <c r="L10" s="54"/>
      <c r="M10" s="187">
        <f t="shared" si="0"/>
        <v>4</v>
      </c>
    </row>
    <row r="11" spans="1:13" x14ac:dyDescent="0.25">
      <c r="A11" s="25">
        <v>10</v>
      </c>
      <c r="B11" s="8" t="s">
        <v>119</v>
      </c>
      <c r="C11" s="28">
        <v>1</v>
      </c>
      <c r="D11" s="28">
        <v>3</v>
      </c>
      <c r="E11" s="28"/>
      <c r="F11" s="28"/>
      <c r="G11" s="28"/>
      <c r="H11" s="28"/>
      <c r="I11" s="28"/>
      <c r="J11" s="28"/>
      <c r="K11" s="28"/>
      <c r="L11" s="54"/>
      <c r="M11" s="187">
        <f t="shared" si="0"/>
        <v>4</v>
      </c>
    </row>
    <row r="12" spans="1:13" x14ac:dyDescent="0.25">
      <c r="A12" s="25">
        <v>11</v>
      </c>
      <c r="B12" s="27" t="s">
        <v>79</v>
      </c>
      <c r="C12" s="28"/>
      <c r="D12" s="28"/>
      <c r="E12" s="28"/>
      <c r="F12" s="28"/>
      <c r="G12" s="28">
        <v>2</v>
      </c>
      <c r="H12" s="28">
        <v>1</v>
      </c>
      <c r="I12" s="28"/>
      <c r="J12" s="28"/>
      <c r="K12" s="28"/>
      <c r="L12" s="54"/>
      <c r="M12" s="187">
        <f t="shared" si="0"/>
        <v>3</v>
      </c>
    </row>
    <row r="13" spans="1:13" x14ac:dyDescent="0.25">
      <c r="A13" s="25">
        <v>12</v>
      </c>
      <c r="B13" s="8" t="s">
        <v>121</v>
      </c>
      <c r="C13" s="28">
        <v>1</v>
      </c>
      <c r="D13" s="28">
        <v>1</v>
      </c>
      <c r="E13" s="28"/>
      <c r="F13" s="28"/>
      <c r="G13" s="28"/>
      <c r="H13" s="28"/>
      <c r="I13" s="28"/>
      <c r="J13" s="28"/>
      <c r="K13" s="28"/>
      <c r="L13" s="54"/>
      <c r="M13" s="187">
        <f t="shared" si="0"/>
        <v>2</v>
      </c>
    </row>
    <row r="14" spans="1:13" x14ac:dyDescent="0.25">
      <c r="A14" s="25">
        <v>13</v>
      </c>
      <c r="B14" s="8" t="s">
        <v>68</v>
      </c>
      <c r="C14" s="28">
        <v>1</v>
      </c>
      <c r="D14" s="28"/>
      <c r="E14" s="28">
        <v>1</v>
      </c>
      <c r="F14" s="28"/>
      <c r="G14" s="28"/>
      <c r="H14" s="28"/>
      <c r="I14" s="28"/>
      <c r="J14" s="28"/>
      <c r="K14" s="28"/>
      <c r="L14" s="54"/>
      <c r="M14" s="187">
        <f t="shared" si="0"/>
        <v>2</v>
      </c>
    </row>
    <row r="15" spans="1:13" x14ac:dyDescent="0.25">
      <c r="A15" s="25">
        <v>14</v>
      </c>
      <c r="B15" s="27" t="s">
        <v>78</v>
      </c>
      <c r="C15" s="28"/>
      <c r="D15" s="28"/>
      <c r="E15" s="28"/>
      <c r="F15" s="28"/>
      <c r="G15" s="28"/>
      <c r="H15" s="28"/>
      <c r="I15" s="28">
        <v>2</v>
      </c>
      <c r="J15" s="28"/>
      <c r="K15" s="28"/>
      <c r="L15" s="54"/>
      <c r="M15" s="187">
        <f t="shared" si="0"/>
        <v>2</v>
      </c>
    </row>
    <row r="16" spans="1:13" x14ac:dyDescent="0.25">
      <c r="A16" s="25">
        <v>15</v>
      </c>
      <c r="B16" s="8" t="s">
        <v>72</v>
      </c>
      <c r="C16" s="28">
        <v>1</v>
      </c>
      <c r="D16" s="28"/>
      <c r="E16" s="28"/>
      <c r="F16" s="28"/>
      <c r="G16" s="28"/>
      <c r="H16" s="28"/>
      <c r="I16" s="28"/>
      <c r="J16" s="28">
        <v>1</v>
      </c>
      <c r="K16" s="28"/>
      <c r="L16" s="54"/>
      <c r="M16" s="187">
        <f t="shared" si="0"/>
        <v>2</v>
      </c>
    </row>
    <row r="17" spans="1:13" x14ac:dyDescent="0.25">
      <c r="A17" s="25">
        <v>16</v>
      </c>
      <c r="B17" s="27" t="s">
        <v>61</v>
      </c>
      <c r="C17" s="28"/>
      <c r="D17" s="28"/>
      <c r="E17" s="28"/>
      <c r="F17" s="28"/>
      <c r="G17" s="28">
        <v>1</v>
      </c>
      <c r="H17" s="28"/>
      <c r="I17" s="28"/>
      <c r="J17" s="28">
        <v>1</v>
      </c>
      <c r="K17" s="28"/>
      <c r="L17" s="54"/>
      <c r="M17" s="187">
        <f t="shared" si="0"/>
        <v>2</v>
      </c>
    </row>
    <row r="18" spans="1:13" x14ac:dyDescent="0.25">
      <c r="A18" s="25">
        <v>17</v>
      </c>
      <c r="B18" s="27" t="s">
        <v>65</v>
      </c>
      <c r="C18" s="28"/>
      <c r="D18" s="28"/>
      <c r="E18" s="28"/>
      <c r="F18" s="28"/>
      <c r="G18" s="28"/>
      <c r="H18" s="28"/>
      <c r="I18" s="28"/>
      <c r="J18" s="28">
        <v>2</v>
      </c>
      <c r="K18" s="28"/>
      <c r="L18" s="54"/>
      <c r="M18" s="187">
        <f t="shared" si="0"/>
        <v>2</v>
      </c>
    </row>
    <row r="19" spans="1:13" x14ac:dyDescent="0.25">
      <c r="A19" s="25">
        <v>18</v>
      </c>
      <c r="B19" s="8" t="s">
        <v>128</v>
      </c>
      <c r="C19" s="28">
        <v>1</v>
      </c>
      <c r="D19" s="28"/>
      <c r="E19" s="28"/>
      <c r="F19" s="28"/>
      <c r="G19" s="28"/>
      <c r="H19" s="28"/>
      <c r="I19" s="28"/>
      <c r="J19" s="28"/>
      <c r="K19" s="28"/>
      <c r="L19" s="54"/>
      <c r="M19" s="187">
        <f t="shared" si="0"/>
        <v>1</v>
      </c>
    </row>
    <row r="20" spans="1:13" x14ac:dyDescent="0.25">
      <c r="A20" s="25">
        <v>19</v>
      </c>
      <c r="B20" s="8" t="s">
        <v>73</v>
      </c>
      <c r="C20" s="28">
        <v>1</v>
      </c>
      <c r="D20" s="28"/>
      <c r="E20" s="28"/>
      <c r="F20" s="28"/>
      <c r="G20" s="28"/>
      <c r="H20" s="28"/>
      <c r="I20" s="28"/>
      <c r="J20" s="28"/>
      <c r="K20" s="28"/>
      <c r="L20" s="54"/>
      <c r="M20" s="187">
        <f t="shared" si="0"/>
        <v>1</v>
      </c>
    </row>
    <row r="21" spans="1:13" x14ac:dyDescent="0.25">
      <c r="A21" s="25">
        <v>20</v>
      </c>
      <c r="B21" s="8" t="s">
        <v>126</v>
      </c>
      <c r="C21" s="28"/>
      <c r="D21" s="28">
        <v>1</v>
      </c>
      <c r="E21" s="28"/>
      <c r="F21" s="28"/>
      <c r="G21" s="28"/>
      <c r="H21" s="28"/>
      <c r="I21" s="28"/>
      <c r="J21" s="28"/>
      <c r="K21" s="28"/>
      <c r="L21" s="54"/>
      <c r="M21" s="187">
        <f t="shared" si="0"/>
        <v>1</v>
      </c>
    </row>
    <row r="22" spans="1:13" x14ac:dyDescent="0.25">
      <c r="A22" s="25">
        <v>21</v>
      </c>
      <c r="B22" s="8" t="s">
        <v>122</v>
      </c>
      <c r="C22" s="28"/>
      <c r="D22" s="28">
        <v>1</v>
      </c>
      <c r="E22" s="28"/>
      <c r="F22" s="28"/>
      <c r="G22" s="28"/>
      <c r="H22" s="28"/>
      <c r="I22" s="28"/>
      <c r="J22" s="28"/>
      <c r="K22" s="28"/>
      <c r="L22" s="54"/>
      <c r="M22" s="187">
        <f t="shared" si="0"/>
        <v>1</v>
      </c>
    </row>
    <row r="23" spans="1:13" x14ac:dyDescent="0.25">
      <c r="A23" s="25">
        <v>22</v>
      </c>
      <c r="B23" s="8" t="s">
        <v>116</v>
      </c>
      <c r="C23" s="28"/>
      <c r="D23" s="28"/>
      <c r="E23" s="28">
        <v>1</v>
      </c>
      <c r="F23" s="28"/>
      <c r="G23" s="28"/>
      <c r="H23" s="28"/>
      <c r="I23" s="28"/>
      <c r="J23" s="28"/>
      <c r="K23" s="28"/>
      <c r="L23" s="54"/>
      <c r="M23" s="187">
        <f t="shared" si="0"/>
        <v>1</v>
      </c>
    </row>
    <row r="24" spans="1:13" x14ac:dyDescent="0.25">
      <c r="A24" s="25">
        <v>23</v>
      </c>
      <c r="B24" s="8" t="s">
        <v>70</v>
      </c>
      <c r="C24" s="28"/>
      <c r="D24" s="28"/>
      <c r="E24" s="28"/>
      <c r="F24" s="28">
        <v>1</v>
      </c>
      <c r="G24" s="28"/>
      <c r="H24" s="28"/>
      <c r="I24" s="28"/>
      <c r="J24" s="28"/>
      <c r="K24" s="28"/>
      <c r="L24" s="54"/>
      <c r="M24" s="187">
        <f t="shared" si="0"/>
        <v>1</v>
      </c>
    </row>
    <row r="25" spans="1:13" x14ac:dyDescent="0.25">
      <c r="A25" s="25">
        <v>24</v>
      </c>
      <c r="B25" s="27" t="s">
        <v>64</v>
      </c>
      <c r="C25" s="28"/>
      <c r="D25" s="28"/>
      <c r="E25" s="28"/>
      <c r="F25" s="28"/>
      <c r="G25" s="28">
        <v>1</v>
      </c>
      <c r="H25" s="28"/>
      <c r="I25" s="28"/>
      <c r="J25" s="28"/>
      <c r="K25" s="28"/>
      <c r="L25" s="54"/>
      <c r="M25" s="187">
        <f t="shared" si="0"/>
        <v>1</v>
      </c>
    </row>
    <row r="26" spans="1:13" x14ac:dyDescent="0.25">
      <c r="A26" s="25">
        <v>25</v>
      </c>
      <c r="B26" s="27" t="s">
        <v>53</v>
      </c>
      <c r="C26" s="117"/>
      <c r="D26" s="117"/>
      <c r="E26" s="117"/>
      <c r="F26" s="117"/>
      <c r="G26" s="117"/>
      <c r="H26" s="117">
        <v>1</v>
      </c>
      <c r="I26" s="117"/>
      <c r="J26" s="117"/>
      <c r="K26" s="117"/>
      <c r="L26" s="118"/>
      <c r="M26" s="187">
        <f t="shared" si="0"/>
        <v>1</v>
      </c>
    </row>
    <row r="27" spans="1:13" x14ac:dyDescent="0.25">
      <c r="A27" s="25">
        <v>26</v>
      </c>
      <c r="B27" s="27" t="s">
        <v>81</v>
      </c>
      <c r="C27" s="117"/>
      <c r="D27" s="117"/>
      <c r="E27" s="117"/>
      <c r="F27" s="117"/>
      <c r="G27" s="117"/>
      <c r="H27" s="117"/>
      <c r="I27" s="117"/>
      <c r="J27" s="117">
        <v>1</v>
      </c>
      <c r="K27" s="117"/>
      <c r="L27" s="118"/>
      <c r="M27" s="187">
        <f t="shared" si="0"/>
        <v>1</v>
      </c>
    </row>
    <row r="28" spans="1:13" x14ac:dyDescent="0.25">
      <c r="A28" s="25">
        <v>27</v>
      </c>
      <c r="B28" s="27" t="s">
        <v>54</v>
      </c>
      <c r="C28" s="117"/>
      <c r="D28" s="117"/>
      <c r="E28" s="117"/>
      <c r="F28" s="117"/>
      <c r="G28" s="117"/>
      <c r="H28" s="117"/>
      <c r="I28" s="117"/>
      <c r="J28" s="117">
        <v>1</v>
      </c>
      <c r="K28" s="117"/>
      <c r="L28" s="118"/>
      <c r="M28" s="187">
        <f t="shared" si="0"/>
        <v>1</v>
      </c>
    </row>
    <row r="29" spans="1:13" x14ac:dyDescent="0.25">
      <c r="A29" s="25">
        <v>28</v>
      </c>
      <c r="B29" s="27" t="s">
        <v>56</v>
      </c>
      <c r="C29" s="117"/>
      <c r="D29" s="117"/>
      <c r="E29" s="117"/>
      <c r="F29" s="117"/>
      <c r="G29" s="117"/>
      <c r="H29" s="117"/>
      <c r="I29" s="117"/>
      <c r="J29" s="117">
        <v>1</v>
      </c>
      <c r="K29" s="117"/>
      <c r="L29" s="118"/>
      <c r="M29" s="187">
        <f t="shared" si="0"/>
        <v>1</v>
      </c>
    </row>
    <row r="30" spans="1:13" x14ac:dyDescent="0.25">
      <c r="A30" s="25">
        <v>29</v>
      </c>
      <c r="B30" s="27" t="s">
        <v>67</v>
      </c>
      <c r="C30" s="117"/>
      <c r="D30" s="117"/>
      <c r="E30" s="117"/>
      <c r="F30" s="117"/>
      <c r="G30" s="117"/>
      <c r="H30" s="117"/>
      <c r="I30" s="117"/>
      <c r="J30" s="117">
        <v>1</v>
      </c>
      <c r="K30" s="117"/>
      <c r="L30" s="118"/>
      <c r="M30" s="187">
        <f t="shared" si="0"/>
        <v>1</v>
      </c>
    </row>
    <row r="31" spans="1:13" x14ac:dyDescent="0.25">
      <c r="C31" s="123">
        <f>SUM(C2:C30)</f>
        <v>8</v>
      </c>
      <c r="D31" s="121">
        <f>SUM(D2:D30)</f>
        <v>12</v>
      </c>
      <c r="E31" s="121">
        <v>7</v>
      </c>
      <c r="F31" s="121">
        <f>SUM(F2:F30)</f>
        <v>1</v>
      </c>
      <c r="G31" s="121">
        <f t="shared" ref="G31:H31" si="1">SUM(G2:G30)</f>
        <v>8</v>
      </c>
      <c r="H31" s="121">
        <f t="shared" si="1"/>
        <v>19</v>
      </c>
      <c r="I31" s="121">
        <v>8</v>
      </c>
      <c r="J31" s="121">
        <f t="shared" ref="J31:L31" si="2">SUM(J2:J30)</f>
        <v>15</v>
      </c>
      <c r="K31" s="121">
        <f t="shared" si="2"/>
        <v>0</v>
      </c>
      <c r="L31" s="121">
        <f t="shared" si="2"/>
        <v>0</v>
      </c>
      <c r="M31" s="190">
        <f t="shared" ref="M31" si="3">SUM(C31:G31)</f>
        <v>36</v>
      </c>
    </row>
  </sheetData>
  <sortState xmlns:xlrd2="http://schemas.microsoft.com/office/spreadsheetml/2017/richdata2" ref="B2:M29">
    <sortCondition descending="1" ref="M2:M2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67EC1-99B7-4CEF-B541-0419B6DD65B6}">
  <dimension ref="A1:M31"/>
  <sheetViews>
    <sheetView workbookViewId="0">
      <selection activeCell="A14" sqref="A14"/>
    </sheetView>
  </sheetViews>
  <sheetFormatPr defaultRowHeight="13.2" x14ac:dyDescent="0.25"/>
  <cols>
    <col min="2" max="2" width="23.109375" customWidth="1"/>
  </cols>
  <sheetData>
    <row r="1" spans="1:13" ht="63.6" thickBot="1" x14ac:dyDescent="0.3">
      <c r="A1" s="25"/>
      <c r="B1" s="29" t="s">
        <v>39</v>
      </c>
      <c r="C1" s="30" t="s">
        <v>109</v>
      </c>
      <c r="D1" s="30" t="s">
        <v>110</v>
      </c>
      <c r="E1" s="30" t="s">
        <v>111</v>
      </c>
      <c r="F1" s="30" t="s">
        <v>112</v>
      </c>
      <c r="G1" s="185" t="s">
        <v>113</v>
      </c>
      <c r="H1" s="185" t="s">
        <v>114</v>
      </c>
      <c r="I1" s="185" t="s">
        <v>146</v>
      </c>
      <c r="J1" s="185" t="s">
        <v>147</v>
      </c>
      <c r="K1" s="185" t="s">
        <v>148</v>
      </c>
      <c r="L1" s="185" t="s">
        <v>149</v>
      </c>
      <c r="M1" s="31"/>
    </row>
    <row r="2" spans="1:13" x14ac:dyDescent="0.25">
      <c r="A2" s="25">
        <v>1</v>
      </c>
      <c r="B2" s="201" t="s">
        <v>61</v>
      </c>
      <c r="C2" s="107">
        <v>3</v>
      </c>
      <c r="D2" s="128">
        <v>1</v>
      </c>
      <c r="E2" s="28">
        <v>1</v>
      </c>
      <c r="F2" s="28">
        <v>3</v>
      </c>
      <c r="G2" s="28"/>
      <c r="H2" s="28"/>
      <c r="I2" s="28"/>
      <c r="J2" s="28"/>
      <c r="K2" s="28"/>
      <c r="L2" s="54"/>
      <c r="M2" s="188">
        <f t="shared" ref="M2:M31" si="0">SUM(C2:L2)</f>
        <v>8</v>
      </c>
    </row>
    <row r="3" spans="1:13" x14ac:dyDescent="0.25">
      <c r="A3" s="25">
        <v>2</v>
      </c>
      <c r="B3" s="124" t="s">
        <v>60</v>
      </c>
      <c r="C3" s="145">
        <v>2</v>
      </c>
      <c r="D3" s="128">
        <v>2</v>
      </c>
      <c r="E3" s="28">
        <v>1</v>
      </c>
      <c r="F3" s="28">
        <v>3</v>
      </c>
      <c r="G3" s="28"/>
      <c r="H3" s="28"/>
      <c r="I3" s="28"/>
      <c r="J3" s="28"/>
      <c r="K3" s="28"/>
      <c r="L3" s="54"/>
      <c r="M3" s="189">
        <f t="shared" si="0"/>
        <v>8</v>
      </c>
    </row>
    <row r="4" spans="1:13" x14ac:dyDescent="0.25">
      <c r="A4" s="25">
        <v>3</v>
      </c>
      <c r="B4" s="124" t="s">
        <v>57</v>
      </c>
      <c r="C4" s="107">
        <v>1</v>
      </c>
      <c r="D4" s="128">
        <v>3</v>
      </c>
      <c r="E4" s="28">
        <v>2</v>
      </c>
      <c r="F4" s="28"/>
      <c r="G4" s="28"/>
      <c r="H4" s="28"/>
      <c r="I4" s="28"/>
      <c r="J4" s="28"/>
      <c r="K4" s="28"/>
      <c r="L4" s="54"/>
      <c r="M4" s="189">
        <f t="shared" si="0"/>
        <v>6</v>
      </c>
    </row>
    <row r="5" spans="1:13" x14ac:dyDescent="0.25">
      <c r="A5" s="25">
        <v>4</v>
      </c>
      <c r="B5" s="127" t="s">
        <v>73</v>
      </c>
      <c r="C5" s="107">
        <v>2</v>
      </c>
      <c r="D5" s="128">
        <v>2</v>
      </c>
      <c r="E5" s="28">
        <v>1</v>
      </c>
      <c r="F5" s="28">
        <v>1</v>
      </c>
      <c r="G5" s="28"/>
      <c r="H5" s="28"/>
      <c r="I5" s="28"/>
      <c r="J5" s="28"/>
      <c r="K5" s="28"/>
      <c r="L5" s="54"/>
      <c r="M5" s="189">
        <f t="shared" si="0"/>
        <v>6</v>
      </c>
    </row>
    <row r="6" spans="1:13" x14ac:dyDescent="0.25">
      <c r="A6" s="25">
        <v>5</v>
      </c>
      <c r="B6" s="124" t="s">
        <v>64</v>
      </c>
      <c r="C6" s="107">
        <v>1</v>
      </c>
      <c r="D6" s="128">
        <v>1</v>
      </c>
      <c r="E6" s="28">
        <v>3</v>
      </c>
      <c r="F6" s="28"/>
      <c r="G6" s="28"/>
      <c r="H6" s="28"/>
      <c r="I6" s="28"/>
      <c r="J6" s="28"/>
      <c r="K6" s="28"/>
      <c r="L6" s="54"/>
      <c r="M6" s="189">
        <f t="shared" si="0"/>
        <v>5</v>
      </c>
    </row>
    <row r="7" spans="1:13" x14ac:dyDescent="0.25">
      <c r="A7" s="25">
        <v>6</v>
      </c>
      <c r="B7" s="124" t="s">
        <v>51</v>
      </c>
      <c r="C7" s="145"/>
      <c r="D7" s="128">
        <v>2</v>
      </c>
      <c r="E7" s="28">
        <v>1</v>
      </c>
      <c r="F7" s="28">
        <v>2</v>
      </c>
      <c r="G7" s="28"/>
      <c r="H7" s="28"/>
      <c r="I7" s="28"/>
      <c r="J7" s="28"/>
      <c r="K7" s="28"/>
      <c r="L7" s="54"/>
      <c r="M7" s="189">
        <f t="shared" si="0"/>
        <v>5</v>
      </c>
    </row>
    <row r="8" spans="1:13" x14ac:dyDescent="0.25">
      <c r="A8" s="25">
        <v>7</v>
      </c>
      <c r="B8" s="127" t="s">
        <v>72</v>
      </c>
      <c r="C8" s="145"/>
      <c r="D8" s="128">
        <v>3</v>
      </c>
      <c r="E8" s="28"/>
      <c r="F8" s="28">
        <v>1</v>
      </c>
      <c r="G8" s="28"/>
      <c r="H8" s="28"/>
      <c r="I8" s="28"/>
      <c r="J8" s="28"/>
      <c r="K8" s="28"/>
      <c r="L8" s="54"/>
      <c r="M8" s="189">
        <f t="shared" si="0"/>
        <v>4</v>
      </c>
    </row>
    <row r="9" spans="1:13" x14ac:dyDescent="0.25">
      <c r="A9" s="25">
        <v>8</v>
      </c>
      <c r="B9" s="127" t="s">
        <v>76</v>
      </c>
      <c r="C9" s="145"/>
      <c r="D9" s="128">
        <v>1</v>
      </c>
      <c r="E9" s="28">
        <v>2</v>
      </c>
      <c r="F9" s="28"/>
      <c r="G9" s="28"/>
      <c r="H9" s="28"/>
      <c r="I9" s="28"/>
      <c r="J9" s="28"/>
      <c r="K9" s="28"/>
      <c r="L9" s="54"/>
      <c r="M9" s="189">
        <f t="shared" si="0"/>
        <v>3</v>
      </c>
    </row>
    <row r="10" spans="1:13" x14ac:dyDescent="0.25">
      <c r="A10" s="25">
        <v>9</v>
      </c>
      <c r="B10" s="124" t="s">
        <v>77</v>
      </c>
      <c r="C10" s="107">
        <v>1</v>
      </c>
      <c r="D10" s="128"/>
      <c r="E10" s="28"/>
      <c r="F10" s="28">
        <v>2</v>
      </c>
      <c r="G10" s="28"/>
      <c r="H10" s="28"/>
      <c r="I10" s="28"/>
      <c r="J10" s="28"/>
      <c r="K10" s="28"/>
      <c r="L10" s="54"/>
      <c r="M10" s="189">
        <f t="shared" si="0"/>
        <v>3</v>
      </c>
    </row>
    <row r="11" spans="1:13" x14ac:dyDescent="0.25">
      <c r="A11" s="25">
        <v>10</v>
      </c>
      <c r="B11" s="127" t="s">
        <v>56</v>
      </c>
      <c r="C11" s="107"/>
      <c r="D11" s="128"/>
      <c r="E11" s="28"/>
      <c r="F11" s="28">
        <v>3</v>
      </c>
      <c r="G11" s="28"/>
      <c r="H11" s="28"/>
      <c r="I11" s="28"/>
      <c r="J11" s="28"/>
      <c r="K11" s="28"/>
      <c r="L11" s="54"/>
      <c r="M11" s="189">
        <f t="shared" si="0"/>
        <v>3</v>
      </c>
    </row>
    <row r="12" spans="1:13" x14ac:dyDescent="0.25">
      <c r="A12" s="25">
        <v>11</v>
      </c>
      <c r="B12" s="127" t="s">
        <v>79</v>
      </c>
      <c r="C12" s="145">
        <v>2</v>
      </c>
      <c r="D12" s="128"/>
      <c r="E12" s="28"/>
      <c r="F12" s="28"/>
      <c r="G12" s="28"/>
      <c r="H12" s="28"/>
      <c r="I12" s="28"/>
      <c r="J12" s="28"/>
      <c r="K12" s="28"/>
      <c r="L12" s="54"/>
      <c r="M12" s="189">
        <f t="shared" si="0"/>
        <v>2</v>
      </c>
    </row>
    <row r="13" spans="1:13" x14ac:dyDescent="0.25">
      <c r="A13" s="25">
        <v>12</v>
      </c>
      <c r="B13" s="27" t="s">
        <v>59</v>
      </c>
      <c r="C13" s="266"/>
      <c r="D13" s="28">
        <v>2</v>
      </c>
      <c r="E13" s="28"/>
      <c r="F13" s="28"/>
      <c r="G13" s="28"/>
      <c r="H13" s="28"/>
      <c r="I13" s="28"/>
      <c r="J13" s="28"/>
      <c r="K13" s="28"/>
      <c r="L13" s="54"/>
      <c r="M13" s="189">
        <f t="shared" si="0"/>
        <v>2</v>
      </c>
    </row>
    <row r="14" spans="1:13" x14ac:dyDescent="0.25">
      <c r="A14" s="25">
        <v>13</v>
      </c>
      <c r="B14" s="27" t="s">
        <v>62</v>
      </c>
      <c r="C14" s="152">
        <v>1</v>
      </c>
      <c r="D14" s="28"/>
      <c r="E14" s="28">
        <v>1</v>
      </c>
      <c r="F14" s="28"/>
      <c r="G14" s="28"/>
      <c r="H14" s="28"/>
      <c r="I14" s="28"/>
      <c r="J14" s="28"/>
      <c r="K14" s="28"/>
      <c r="L14" s="54"/>
      <c r="M14" s="189">
        <f t="shared" si="0"/>
        <v>2</v>
      </c>
    </row>
    <row r="15" spans="1:13" x14ac:dyDescent="0.25">
      <c r="A15" s="25">
        <v>14</v>
      </c>
      <c r="B15" s="27" t="s">
        <v>131</v>
      </c>
      <c r="C15" s="28"/>
      <c r="D15" s="28"/>
      <c r="E15" s="28">
        <v>2</v>
      </c>
      <c r="F15" s="28"/>
      <c r="G15" s="28"/>
      <c r="H15" s="28"/>
      <c r="I15" s="28"/>
      <c r="J15" s="28"/>
      <c r="K15" s="28"/>
      <c r="L15" s="54"/>
      <c r="M15" s="189">
        <f t="shared" si="0"/>
        <v>2</v>
      </c>
    </row>
    <row r="16" spans="1:13" x14ac:dyDescent="0.25">
      <c r="A16" s="25">
        <v>15</v>
      </c>
      <c r="B16" s="8" t="s">
        <v>124</v>
      </c>
      <c r="C16" s="28"/>
      <c r="D16" s="28"/>
      <c r="E16" s="28">
        <v>2</v>
      </c>
      <c r="F16" s="28"/>
      <c r="G16" s="28"/>
      <c r="H16" s="28"/>
      <c r="I16" s="28"/>
      <c r="J16" s="28"/>
      <c r="K16" s="28"/>
      <c r="L16" s="54"/>
      <c r="M16" s="189">
        <f t="shared" si="0"/>
        <v>2</v>
      </c>
    </row>
    <row r="17" spans="1:13" x14ac:dyDescent="0.25">
      <c r="A17" s="25">
        <v>16</v>
      </c>
      <c r="B17" s="27" t="s">
        <v>55</v>
      </c>
      <c r="C17" s="152">
        <v>1</v>
      </c>
      <c r="D17" s="28"/>
      <c r="E17" s="28"/>
      <c r="F17" s="28">
        <v>1</v>
      </c>
      <c r="G17" s="28"/>
      <c r="H17" s="28"/>
      <c r="I17" s="28"/>
      <c r="J17" s="28"/>
      <c r="K17" s="28"/>
      <c r="L17" s="54"/>
      <c r="M17" s="189">
        <f t="shared" si="0"/>
        <v>2</v>
      </c>
    </row>
    <row r="18" spans="1:13" x14ac:dyDescent="0.25">
      <c r="A18" s="25">
        <v>17</v>
      </c>
      <c r="B18" s="8" t="s">
        <v>49</v>
      </c>
      <c r="C18" s="28"/>
      <c r="D18" s="28">
        <v>1</v>
      </c>
      <c r="E18" s="28"/>
      <c r="F18" s="28">
        <v>1</v>
      </c>
      <c r="G18" s="28"/>
      <c r="H18" s="28"/>
      <c r="I18" s="28"/>
      <c r="J18" s="28"/>
      <c r="K18" s="28"/>
      <c r="L18" s="54"/>
      <c r="M18" s="262">
        <f t="shared" si="0"/>
        <v>2</v>
      </c>
    </row>
    <row r="19" spans="1:13" x14ac:dyDescent="0.25">
      <c r="A19" s="25">
        <v>18</v>
      </c>
      <c r="B19" s="27" t="s">
        <v>68</v>
      </c>
      <c r="C19" s="28"/>
      <c r="D19" s="28">
        <v>1</v>
      </c>
      <c r="E19" s="28"/>
      <c r="F19" s="28">
        <v>1</v>
      </c>
      <c r="G19" s="28"/>
      <c r="H19" s="28"/>
      <c r="I19" s="28"/>
      <c r="J19" s="28"/>
      <c r="K19" s="28"/>
      <c r="L19" s="54"/>
      <c r="M19" s="263">
        <f t="shared" si="0"/>
        <v>2</v>
      </c>
    </row>
    <row r="20" spans="1:13" x14ac:dyDescent="0.25">
      <c r="A20" s="25">
        <v>19</v>
      </c>
      <c r="B20" s="27" t="s">
        <v>47</v>
      </c>
      <c r="C20" s="152"/>
      <c r="D20" s="28"/>
      <c r="E20" s="28"/>
      <c r="F20" s="28">
        <v>2</v>
      </c>
      <c r="G20" s="28"/>
      <c r="H20" s="28"/>
      <c r="I20" s="28"/>
      <c r="J20" s="28"/>
      <c r="K20" s="28"/>
      <c r="L20" s="54"/>
      <c r="M20" s="264">
        <f t="shared" si="0"/>
        <v>2</v>
      </c>
    </row>
    <row r="21" spans="1:13" x14ac:dyDescent="0.25">
      <c r="A21" s="25">
        <v>20</v>
      </c>
      <c r="B21" s="27" t="s">
        <v>75</v>
      </c>
      <c r="C21" s="152"/>
      <c r="D21" s="28"/>
      <c r="E21" s="28"/>
      <c r="F21" s="28">
        <v>2</v>
      </c>
      <c r="G21" s="28"/>
      <c r="H21" s="28"/>
      <c r="I21" s="28"/>
      <c r="J21" s="28"/>
      <c r="K21" s="28"/>
      <c r="L21" s="54"/>
      <c r="M21" s="264">
        <f t="shared" si="0"/>
        <v>2</v>
      </c>
    </row>
    <row r="22" spans="1:13" x14ac:dyDescent="0.25">
      <c r="A22" s="25">
        <v>21</v>
      </c>
      <c r="B22" s="27" t="s">
        <v>119</v>
      </c>
      <c r="C22" s="152"/>
      <c r="D22" s="28">
        <v>1</v>
      </c>
      <c r="E22" s="28"/>
      <c r="F22" s="28"/>
      <c r="G22" s="28"/>
      <c r="H22" s="28"/>
      <c r="I22" s="28"/>
      <c r="J22" s="28"/>
      <c r="K22" s="28"/>
      <c r="L22" s="54"/>
      <c r="M22" s="264">
        <f t="shared" si="0"/>
        <v>1</v>
      </c>
    </row>
    <row r="23" spans="1:13" x14ac:dyDescent="0.25">
      <c r="A23" s="25">
        <v>22</v>
      </c>
      <c r="B23" s="27" t="s">
        <v>54</v>
      </c>
      <c r="C23" s="28"/>
      <c r="D23" s="28">
        <v>1</v>
      </c>
      <c r="E23" s="28"/>
      <c r="F23" s="28"/>
      <c r="G23" s="28"/>
      <c r="H23" s="28"/>
      <c r="I23" s="28"/>
      <c r="J23" s="28"/>
      <c r="K23" s="28"/>
      <c r="L23" s="54"/>
      <c r="M23" s="264">
        <f t="shared" si="0"/>
        <v>1</v>
      </c>
    </row>
    <row r="24" spans="1:13" x14ac:dyDescent="0.25">
      <c r="A24" s="25">
        <v>23</v>
      </c>
      <c r="B24" s="8" t="s">
        <v>80</v>
      </c>
      <c r="C24" s="28"/>
      <c r="D24" s="28">
        <v>1</v>
      </c>
      <c r="E24" s="28"/>
      <c r="F24" s="28"/>
      <c r="G24" s="28"/>
      <c r="H24" s="28"/>
      <c r="I24" s="28"/>
      <c r="J24" s="28"/>
      <c r="K24" s="28"/>
      <c r="L24" s="54"/>
      <c r="M24" s="264">
        <f t="shared" si="0"/>
        <v>1</v>
      </c>
    </row>
    <row r="25" spans="1:13" x14ac:dyDescent="0.25">
      <c r="A25" s="25">
        <v>24</v>
      </c>
      <c r="B25" s="8" t="s">
        <v>53</v>
      </c>
      <c r="C25" s="152"/>
      <c r="D25" s="28"/>
      <c r="E25" s="28">
        <v>1</v>
      </c>
      <c r="F25" s="28"/>
      <c r="G25" s="28"/>
      <c r="H25" s="28"/>
      <c r="I25" s="28"/>
      <c r="J25" s="28"/>
      <c r="K25" s="28"/>
      <c r="L25" s="54"/>
      <c r="M25" s="264">
        <f t="shared" si="0"/>
        <v>1</v>
      </c>
    </row>
    <row r="26" spans="1:13" x14ac:dyDescent="0.25">
      <c r="A26" s="25">
        <v>25</v>
      </c>
      <c r="B26" s="8" t="s">
        <v>150</v>
      </c>
      <c r="C26" s="28"/>
      <c r="D26" s="28"/>
      <c r="E26" s="28">
        <v>1</v>
      </c>
      <c r="F26" s="28"/>
      <c r="G26" s="28"/>
      <c r="H26" s="28"/>
      <c r="I26" s="28"/>
      <c r="J26" s="28"/>
      <c r="K26" s="28"/>
      <c r="L26" s="54"/>
      <c r="M26" s="264">
        <f t="shared" si="0"/>
        <v>1</v>
      </c>
    </row>
    <row r="27" spans="1:13" x14ac:dyDescent="0.25">
      <c r="A27" s="25">
        <v>26</v>
      </c>
      <c r="B27" s="27" t="s">
        <v>78</v>
      </c>
      <c r="C27" s="28"/>
      <c r="D27" s="28"/>
      <c r="E27" s="28">
        <v>1</v>
      </c>
      <c r="F27" s="28"/>
      <c r="G27" s="28"/>
      <c r="H27" s="28"/>
      <c r="I27" s="28"/>
      <c r="J27" s="28"/>
      <c r="K27" s="28"/>
      <c r="L27" s="54"/>
      <c r="M27" s="264">
        <f t="shared" si="0"/>
        <v>1</v>
      </c>
    </row>
    <row r="28" spans="1:13" x14ac:dyDescent="0.25">
      <c r="A28" s="25">
        <v>27</v>
      </c>
      <c r="B28" s="8" t="s">
        <v>58</v>
      </c>
      <c r="C28" s="28"/>
      <c r="D28" s="28"/>
      <c r="E28" s="28"/>
      <c r="F28" s="28">
        <v>1</v>
      </c>
      <c r="G28" s="28"/>
      <c r="H28" s="28"/>
      <c r="I28" s="28"/>
      <c r="J28" s="28"/>
      <c r="K28" s="28"/>
      <c r="L28" s="54"/>
      <c r="M28" s="264">
        <f t="shared" si="0"/>
        <v>1</v>
      </c>
    </row>
    <row r="29" spans="1:13" x14ac:dyDescent="0.25">
      <c r="A29" s="25">
        <v>28</v>
      </c>
      <c r="B29" s="27" t="s">
        <v>81</v>
      </c>
      <c r="C29" s="152"/>
      <c r="D29" s="28"/>
      <c r="E29" s="28"/>
      <c r="F29" s="28">
        <v>1</v>
      </c>
      <c r="G29" s="28"/>
      <c r="H29" s="28"/>
      <c r="I29" s="28"/>
      <c r="J29" s="28"/>
      <c r="K29" s="28"/>
      <c r="L29" s="54"/>
      <c r="M29" s="264">
        <f t="shared" si="0"/>
        <v>1</v>
      </c>
    </row>
    <row r="30" spans="1:13" x14ac:dyDescent="0.25">
      <c r="A30" s="25">
        <v>29</v>
      </c>
      <c r="B30" s="27" t="s">
        <v>63</v>
      </c>
      <c r="C30" s="152"/>
      <c r="D30" s="28"/>
      <c r="E30" s="28"/>
      <c r="F30" s="28">
        <v>1</v>
      </c>
      <c r="G30" s="28"/>
      <c r="H30" s="28"/>
      <c r="I30" s="28"/>
      <c r="J30" s="28"/>
      <c r="K30" s="28"/>
      <c r="L30" s="54"/>
      <c r="M30" s="264">
        <f t="shared" si="0"/>
        <v>1</v>
      </c>
    </row>
    <row r="31" spans="1:13" x14ac:dyDescent="0.25">
      <c r="A31" s="25">
        <v>30</v>
      </c>
      <c r="B31" s="27" t="s">
        <v>65</v>
      </c>
      <c r="C31" s="152"/>
      <c r="D31" s="28"/>
      <c r="E31" s="28"/>
      <c r="F31" s="28">
        <v>1</v>
      </c>
      <c r="G31" s="28"/>
      <c r="H31" s="28"/>
      <c r="I31" s="28"/>
      <c r="J31" s="28"/>
      <c r="K31" s="28"/>
      <c r="L31" s="54"/>
      <c r="M31" s="265">
        <f t="shared" si="0"/>
        <v>1</v>
      </c>
    </row>
  </sheetData>
  <sortState xmlns:xlrd2="http://schemas.microsoft.com/office/spreadsheetml/2017/richdata2" ref="B2:M31">
    <sortCondition descending="1" ref="M2:M31"/>
  </sortState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49"/>
  <sheetViews>
    <sheetView zoomScale="85" zoomScaleNormal="85" workbookViewId="0">
      <selection activeCell="C6" sqref="C6:V24"/>
    </sheetView>
  </sheetViews>
  <sheetFormatPr defaultRowHeight="13.2" x14ac:dyDescent="0.25"/>
  <cols>
    <col min="2" max="2" width="25.44140625" customWidth="1"/>
  </cols>
  <sheetData>
    <row r="1" spans="1:30" x14ac:dyDescent="0.25">
      <c r="C1" t="s">
        <v>296</v>
      </c>
      <c r="D1" t="s">
        <v>296</v>
      </c>
      <c r="E1" t="s">
        <v>297</v>
      </c>
      <c r="F1" t="s">
        <v>296</v>
      </c>
      <c r="G1" t="s">
        <v>296</v>
      </c>
      <c r="H1" t="s">
        <v>50</v>
      </c>
      <c r="I1" t="s">
        <v>296</v>
      </c>
      <c r="J1" t="s">
        <v>297</v>
      </c>
      <c r="K1" t="s">
        <v>298</v>
      </c>
      <c r="L1" t="s">
        <v>296</v>
      </c>
      <c r="M1" t="s">
        <v>297</v>
      </c>
      <c r="N1" t="s">
        <v>296</v>
      </c>
      <c r="O1" t="s">
        <v>298</v>
      </c>
      <c r="P1" t="s">
        <v>298</v>
      </c>
      <c r="Q1" t="s">
        <v>296</v>
      </c>
      <c r="R1" t="s">
        <v>50</v>
      </c>
      <c r="S1" t="s">
        <v>298</v>
      </c>
      <c r="T1" t="s">
        <v>296</v>
      </c>
      <c r="U1" t="s">
        <v>296</v>
      </c>
      <c r="V1" t="s">
        <v>296</v>
      </c>
    </row>
    <row r="2" spans="1:30" x14ac:dyDescent="0.25">
      <c r="C2" t="s">
        <v>52</v>
      </c>
      <c r="D2" t="s">
        <v>295</v>
      </c>
      <c r="E2" t="s">
        <v>295</v>
      </c>
      <c r="F2" t="s">
        <v>295</v>
      </c>
      <c r="G2" t="s">
        <v>52</v>
      </c>
      <c r="H2" t="s">
        <v>295</v>
      </c>
      <c r="I2" t="s">
        <v>52</v>
      </c>
      <c r="J2" t="s">
        <v>295</v>
      </c>
      <c r="K2" t="s">
        <v>52</v>
      </c>
      <c r="L2" t="s">
        <v>295</v>
      </c>
      <c r="M2" t="s">
        <v>295</v>
      </c>
      <c r="N2" t="s">
        <v>52</v>
      </c>
      <c r="O2" t="s">
        <v>52</v>
      </c>
      <c r="P2" t="s">
        <v>52</v>
      </c>
      <c r="Q2" t="s">
        <v>52</v>
      </c>
      <c r="R2" t="s">
        <v>52</v>
      </c>
      <c r="S2" t="s">
        <v>295</v>
      </c>
      <c r="T2" t="s">
        <v>52</v>
      </c>
      <c r="U2" t="s">
        <v>295</v>
      </c>
      <c r="V2" t="s">
        <v>295</v>
      </c>
    </row>
    <row r="3" spans="1:30" ht="58.5" customHeight="1" x14ac:dyDescent="0.25">
      <c r="A3" s="3"/>
      <c r="B3" s="4"/>
      <c r="C3" s="34" t="s">
        <v>3</v>
      </c>
      <c r="D3" s="58" t="s">
        <v>5</v>
      </c>
      <c r="E3" s="73" t="s">
        <v>151</v>
      </c>
      <c r="F3" s="58" t="s">
        <v>152</v>
      </c>
      <c r="G3" s="58" t="s">
        <v>153</v>
      </c>
      <c r="H3" s="62" t="s">
        <v>3</v>
      </c>
      <c r="I3" s="58" t="s">
        <v>3</v>
      </c>
      <c r="J3" s="73" t="s">
        <v>1</v>
      </c>
      <c r="K3" s="63" t="s">
        <v>154</v>
      </c>
      <c r="L3" s="58" t="s">
        <v>152</v>
      </c>
      <c r="M3" s="62" t="s">
        <v>3</v>
      </c>
      <c r="N3" s="58" t="s">
        <v>155</v>
      </c>
      <c r="O3" s="63" t="s">
        <v>156</v>
      </c>
      <c r="P3" s="63" t="s">
        <v>156</v>
      </c>
      <c r="Q3" s="58" t="s">
        <v>4</v>
      </c>
      <c r="R3" s="62" t="s">
        <v>157</v>
      </c>
      <c r="S3" s="63" t="s">
        <v>156</v>
      </c>
      <c r="T3" s="58" t="s">
        <v>158</v>
      </c>
      <c r="U3" s="58" t="s">
        <v>157</v>
      </c>
      <c r="V3" s="58" t="s">
        <v>159</v>
      </c>
      <c r="W3" s="5"/>
      <c r="X3" s="6"/>
      <c r="Y3" s="6"/>
      <c r="Z3" s="6"/>
      <c r="AA3" s="6"/>
    </row>
    <row r="4" spans="1:30" ht="96.6" x14ac:dyDescent="0.25">
      <c r="A4" s="3"/>
      <c r="B4" s="7"/>
      <c r="C4" s="35" t="s">
        <v>160</v>
      </c>
      <c r="D4" s="35" t="s">
        <v>161</v>
      </c>
      <c r="E4" s="35" t="s">
        <v>162</v>
      </c>
      <c r="F4" s="36" t="s">
        <v>163</v>
      </c>
      <c r="G4" s="36" t="s">
        <v>164</v>
      </c>
      <c r="H4" s="36" t="s">
        <v>165</v>
      </c>
      <c r="I4" s="35" t="s">
        <v>166</v>
      </c>
      <c r="J4" s="35" t="s">
        <v>167</v>
      </c>
      <c r="K4" s="36" t="s">
        <v>168</v>
      </c>
      <c r="L4" s="36" t="s">
        <v>169</v>
      </c>
      <c r="M4" s="37" t="s">
        <v>170</v>
      </c>
      <c r="N4" s="35" t="s">
        <v>161</v>
      </c>
      <c r="O4" s="35" t="s">
        <v>162</v>
      </c>
      <c r="P4" s="35" t="s">
        <v>163</v>
      </c>
      <c r="Q4" s="35" t="s">
        <v>171</v>
      </c>
      <c r="R4" s="35" t="s">
        <v>167</v>
      </c>
      <c r="S4" s="35" t="s">
        <v>168</v>
      </c>
      <c r="T4" s="35" t="s">
        <v>169</v>
      </c>
      <c r="U4" s="35" t="s">
        <v>164</v>
      </c>
      <c r="V4" s="35" t="s">
        <v>166</v>
      </c>
      <c r="AA4" s="100" t="s">
        <v>34</v>
      </c>
    </row>
    <row r="5" spans="1:30" ht="37.799999999999997" x14ac:dyDescent="0.25">
      <c r="A5" s="3"/>
      <c r="B5" s="46" t="s">
        <v>39</v>
      </c>
      <c r="C5" s="44" t="s">
        <v>172</v>
      </c>
      <c r="D5" s="38" t="s">
        <v>173</v>
      </c>
      <c r="E5" s="39" t="s">
        <v>174</v>
      </c>
      <c r="F5" s="40" t="s">
        <v>175</v>
      </c>
      <c r="G5" s="41" t="s">
        <v>176</v>
      </c>
      <c r="H5" s="40" t="s">
        <v>177</v>
      </c>
      <c r="I5" s="42" t="s">
        <v>178</v>
      </c>
      <c r="J5" s="39" t="s">
        <v>179</v>
      </c>
      <c r="K5" s="41" t="s">
        <v>180</v>
      </c>
      <c r="L5" s="40" t="s">
        <v>181</v>
      </c>
      <c r="M5" s="39" t="s">
        <v>182</v>
      </c>
      <c r="N5" s="42" t="s">
        <v>183</v>
      </c>
      <c r="O5" s="42" t="s">
        <v>184</v>
      </c>
      <c r="P5" s="42" t="s">
        <v>185</v>
      </c>
      <c r="Q5" s="42" t="s">
        <v>186</v>
      </c>
      <c r="R5" s="42" t="s">
        <v>187</v>
      </c>
      <c r="S5" s="39" t="s">
        <v>188</v>
      </c>
      <c r="T5" s="42" t="s">
        <v>189</v>
      </c>
      <c r="U5" s="39" t="s">
        <v>190</v>
      </c>
      <c r="V5" s="39" t="s">
        <v>191</v>
      </c>
      <c r="W5" s="5"/>
      <c r="X5" s="6"/>
    </row>
    <row r="6" spans="1:30" x14ac:dyDescent="0.25">
      <c r="A6" s="3">
        <v>1</v>
      </c>
      <c r="B6" s="8" t="s">
        <v>118</v>
      </c>
      <c r="C6" s="45"/>
      <c r="D6" s="43" t="s">
        <v>48</v>
      </c>
      <c r="E6" s="59" t="s">
        <v>299</v>
      </c>
      <c r="F6" s="14" t="s">
        <v>74</v>
      </c>
      <c r="G6" s="59" t="s">
        <v>299</v>
      </c>
      <c r="H6" s="14" t="s">
        <v>74</v>
      </c>
      <c r="I6" s="43" t="s">
        <v>48</v>
      </c>
      <c r="J6" s="43" t="s">
        <v>48</v>
      </c>
      <c r="K6" s="43"/>
      <c r="L6" s="43" t="s">
        <v>48</v>
      </c>
      <c r="M6" s="43" t="s">
        <v>48</v>
      </c>
      <c r="N6" s="43" t="s">
        <v>48</v>
      </c>
      <c r="O6" s="43"/>
      <c r="P6" s="43"/>
      <c r="Q6" s="14" t="s">
        <v>74</v>
      </c>
      <c r="R6" s="69" t="s">
        <v>74</v>
      </c>
      <c r="S6" s="43"/>
      <c r="T6" s="69" t="s">
        <v>74</v>
      </c>
      <c r="U6" s="43" t="s">
        <v>48</v>
      </c>
      <c r="V6" s="43" t="s">
        <v>48</v>
      </c>
      <c r="W6" s="33">
        <f t="shared" ref="W6:W24" si="0">SUM(C6:V6)</f>
        <v>0</v>
      </c>
      <c r="X6" s="10"/>
      <c r="AA6" s="195">
        <v>15</v>
      </c>
      <c r="AC6" s="47" t="s">
        <v>85</v>
      </c>
    </row>
    <row r="7" spans="1:30" x14ac:dyDescent="0.25">
      <c r="A7" s="3">
        <v>2</v>
      </c>
      <c r="B7" s="8" t="s">
        <v>59</v>
      </c>
      <c r="C7" s="45"/>
      <c r="D7" s="43" t="s">
        <v>48</v>
      </c>
      <c r="E7" s="43" t="s">
        <v>48</v>
      </c>
      <c r="F7" s="43" t="s">
        <v>48</v>
      </c>
      <c r="G7" s="43" t="s">
        <v>48</v>
      </c>
      <c r="H7" s="43" t="s">
        <v>48</v>
      </c>
      <c r="I7" s="43" t="s">
        <v>48</v>
      </c>
      <c r="J7" s="59" t="s">
        <v>299</v>
      </c>
      <c r="K7" s="43"/>
      <c r="L7" s="43" t="s">
        <v>48</v>
      </c>
      <c r="M7" s="43"/>
      <c r="N7" s="43" t="s">
        <v>48</v>
      </c>
      <c r="O7" s="43"/>
      <c r="P7" s="43"/>
      <c r="Q7" s="59" t="s">
        <v>299</v>
      </c>
      <c r="R7" s="9" t="s">
        <v>48</v>
      </c>
      <c r="S7" s="43"/>
      <c r="T7" s="9" t="s">
        <v>48</v>
      </c>
      <c r="U7" s="43" t="s">
        <v>48</v>
      </c>
      <c r="V7" s="68" t="s">
        <v>299</v>
      </c>
      <c r="W7" s="33">
        <f t="shared" si="0"/>
        <v>0</v>
      </c>
      <c r="X7" s="10"/>
      <c r="AA7" s="195">
        <v>14</v>
      </c>
      <c r="AC7" s="48" t="s">
        <v>86</v>
      </c>
    </row>
    <row r="8" spans="1:30" x14ac:dyDescent="0.25">
      <c r="A8" s="3">
        <v>3</v>
      </c>
      <c r="B8" s="8" t="s">
        <v>77</v>
      </c>
      <c r="C8" s="45" t="s">
        <v>48</v>
      </c>
      <c r="D8" s="43" t="s">
        <v>48</v>
      </c>
      <c r="E8" s="14" t="s">
        <v>74</v>
      </c>
      <c r="F8" s="43"/>
      <c r="G8" s="43" t="s">
        <v>48</v>
      </c>
      <c r="H8" s="43" t="s">
        <v>48</v>
      </c>
      <c r="I8" s="43" t="s">
        <v>48</v>
      </c>
      <c r="J8" s="43" t="s">
        <v>48</v>
      </c>
      <c r="K8" s="43"/>
      <c r="L8" s="43" t="s">
        <v>48</v>
      </c>
      <c r="M8" s="43" t="s">
        <v>48</v>
      </c>
      <c r="N8" s="43"/>
      <c r="O8" s="43"/>
      <c r="P8" s="43"/>
      <c r="Q8" s="43" t="s">
        <v>48</v>
      </c>
      <c r="R8" s="69" t="s">
        <v>74</v>
      </c>
      <c r="S8" s="43"/>
      <c r="T8" s="43" t="s">
        <v>48</v>
      </c>
      <c r="U8" s="43" t="s">
        <v>48</v>
      </c>
      <c r="V8" s="9" t="s">
        <v>48</v>
      </c>
      <c r="W8" s="33">
        <f t="shared" si="0"/>
        <v>0</v>
      </c>
      <c r="X8" s="10"/>
      <c r="AA8" s="195">
        <v>14</v>
      </c>
      <c r="AD8" s="6"/>
    </row>
    <row r="9" spans="1:30" x14ac:dyDescent="0.25">
      <c r="A9" s="3">
        <v>4</v>
      </c>
      <c r="B9" s="8" t="s">
        <v>70</v>
      </c>
      <c r="C9" s="45" t="s">
        <v>48</v>
      </c>
      <c r="D9" s="43" t="s">
        <v>48</v>
      </c>
      <c r="E9" s="43" t="s">
        <v>48</v>
      </c>
      <c r="F9" s="43" t="s">
        <v>48</v>
      </c>
      <c r="G9" s="59" t="s">
        <v>299</v>
      </c>
      <c r="H9" s="43" t="s">
        <v>48</v>
      </c>
      <c r="I9" s="59" t="s">
        <v>299</v>
      </c>
      <c r="J9" s="43" t="s">
        <v>48</v>
      </c>
      <c r="K9" s="43"/>
      <c r="L9" s="59" t="s">
        <v>299</v>
      </c>
      <c r="M9" s="43"/>
      <c r="N9" s="43" t="s">
        <v>48</v>
      </c>
      <c r="O9" s="43"/>
      <c r="P9" s="43"/>
      <c r="Q9" s="43" t="s">
        <v>48</v>
      </c>
      <c r="R9" s="9" t="s">
        <v>48</v>
      </c>
      <c r="S9" s="43"/>
      <c r="T9" s="43" t="s">
        <v>48</v>
      </c>
      <c r="U9" s="43"/>
      <c r="V9" s="43"/>
      <c r="W9" s="33">
        <f t="shared" si="0"/>
        <v>0</v>
      </c>
      <c r="X9" s="10"/>
      <c r="AA9" s="195">
        <v>13</v>
      </c>
      <c r="AC9" s="70" t="s">
        <v>30</v>
      </c>
      <c r="AD9" s="14">
        <v>1</v>
      </c>
    </row>
    <row r="10" spans="1:30" x14ac:dyDescent="0.25">
      <c r="A10" s="3">
        <v>5</v>
      </c>
      <c r="B10" s="8" t="s">
        <v>121</v>
      </c>
      <c r="C10" s="45"/>
      <c r="D10" s="43" t="s">
        <v>48</v>
      </c>
      <c r="E10" s="59" t="s">
        <v>299</v>
      </c>
      <c r="F10" s="61" t="s">
        <v>52</v>
      </c>
      <c r="G10" s="61" t="s">
        <v>52</v>
      </c>
      <c r="H10" s="61" t="s">
        <v>52</v>
      </c>
      <c r="I10" s="61" t="s">
        <v>52</v>
      </c>
      <c r="J10" s="43"/>
      <c r="K10" s="43"/>
      <c r="L10" s="59" t="s">
        <v>299</v>
      </c>
      <c r="M10" s="43" t="s">
        <v>48</v>
      </c>
      <c r="N10" s="43" t="s">
        <v>48</v>
      </c>
      <c r="O10" s="43"/>
      <c r="P10" s="43"/>
      <c r="Q10" s="43" t="s">
        <v>48</v>
      </c>
      <c r="R10" s="198" t="s">
        <v>52</v>
      </c>
      <c r="S10" s="43"/>
      <c r="T10" s="198" t="s">
        <v>52</v>
      </c>
      <c r="U10" s="43"/>
      <c r="V10" s="11" t="s">
        <v>299</v>
      </c>
      <c r="W10" s="33">
        <f t="shared" si="0"/>
        <v>0</v>
      </c>
      <c r="X10" s="10"/>
      <c r="AA10" s="195">
        <v>7</v>
      </c>
      <c r="AC10" s="50" t="s">
        <v>92</v>
      </c>
      <c r="AD10" s="11">
        <v>1</v>
      </c>
    </row>
    <row r="11" spans="1:30" x14ac:dyDescent="0.25">
      <c r="A11" s="3">
        <v>6</v>
      </c>
      <c r="B11" s="8" t="s">
        <v>61</v>
      </c>
      <c r="C11" s="45" t="s">
        <v>48</v>
      </c>
      <c r="D11" s="43" t="s">
        <v>48</v>
      </c>
      <c r="E11" s="43" t="s">
        <v>48</v>
      </c>
      <c r="F11" s="43" t="s">
        <v>48</v>
      </c>
      <c r="G11" s="43"/>
      <c r="H11" s="43" t="s">
        <v>48</v>
      </c>
      <c r="I11" s="43" t="s">
        <v>48</v>
      </c>
      <c r="J11" s="59" t="s">
        <v>299</v>
      </c>
      <c r="K11" s="43"/>
      <c r="L11" s="59" t="s">
        <v>299</v>
      </c>
      <c r="M11" s="43"/>
      <c r="N11" s="43"/>
      <c r="O11" s="43"/>
      <c r="P11" s="43"/>
      <c r="Q11" s="43" t="s">
        <v>48</v>
      </c>
      <c r="R11" s="43" t="s">
        <v>48</v>
      </c>
      <c r="S11" s="43"/>
      <c r="T11" s="43" t="s">
        <v>48</v>
      </c>
      <c r="U11" s="43"/>
      <c r="V11" s="43" t="s">
        <v>48</v>
      </c>
      <c r="W11" s="33">
        <f t="shared" si="0"/>
        <v>0</v>
      </c>
      <c r="X11" s="10"/>
      <c r="AA11" s="195">
        <v>12</v>
      </c>
      <c r="AC11" s="16" t="s">
        <v>93</v>
      </c>
      <c r="AD11" s="12">
        <v>1</v>
      </c>
    </row>
    <row r="12" spans="1:30" x14ac:dyDescent="0.25">
      <c r="A12" s="3">
        <v>7</v>
      </c>
      <c r="B12" s="8" t="s">
        <v>55</v>
      </c>
      <c r="C12" s="45" t="s">
        <v>48</v>
      </c>
      <c r="D12" s="43"/>
      <c r="E12" s="43" t="s">
        <v>48</v>
      </c>
      <c r="F12" s="43" t="s">
        <v>48</v>
      </c>
      <c r="G12" s="43" t="s">
        <v>48</v>
      </c>
      <c r="H12" s="43" t="s">
        <v>48</v>
      </c>
      <c r="I12" s="59" t="s">
        <v>299</v>
      </c>
      <c r="J12" s="43" t="s">
        <v>48</v>
      </c>
      <c r="K12" s="43"/>
      <c r="L12" s="59" t="s">
        <v>299</v>
      </c>
      <c r="M12" s="43"/>
      <c r="N12" s="43"/>
      <c r="O12" s="43"/>
      <c r="P12" s="43"/>
      <c r="Q12" s="43" t="s">
        <v>48</v>
      </c>
      <c r="R12" s="43" t="s">
        <v>48</v>
      </c>
      <c r="S12" s="43"/>
      <c r="T12" s="43" t="s">
        <v>48</v>
      </c>
      <c r="U12" s="43"/>
      <c r="V12" s="43" t="s">
        <v>48</v>
      </c>
      <c r="W12" s="33">
        <f t="shared" si="0"/>
        <v>0</v>
      </c>
      <c r="X12" s="10"/>
      <c r="AA12" s="195">
        <v>12</v>
      </c>
      <c r="AC12" s="199" t="s">
        <v>32</v>
      </c>
      <c r="AD12" s="198">
        <v>1</v>
      </c>
    </row>
    <row r="13" spans="1:30" x14ac:dyDescent="0.25">
      <c r="A13" s="3">
        <v>8</v>
      </c>
      <c r="B13" s="8" t="s">
        <v>72</v>
      </c>
      <c r="C13" s="45" t="s">
        <v>48</v>
      </c>
      <c r="D13" s="43"/>
      <c r="E13" s="59" t="s">
        <v>299</v>
      </c>
      <c r="F13" s="43"/>
      <c r="G13" s="43" t="s">
        <v>48</v>
      </c>
      <c r="H13" s="43" t="s">
        <v>48</v>
      </c>
      <c r="I13" s="43" t="s">
        <v>48</v>
      </c>
      <c r="J13" s="43"/>
      <c r="K13" s="43"/>
      <c r="L13" s="43" t="s">
        <v>48</v>
      </c>
      <c r="M13" s="43" t="s">
        <v>48</v>
      </c>
      <c r="N13" s="43" t="s">
        <v>48</v>
      </c>
      <c r="O13" s="43"/>
      <c r="P13" s="43"/>
      <c r="Q13" s="43" t="s">
        <v>48</v>
      </c>
      <c r="R13" s="43" t="s">
        <v>48</v>
      </c>
      <c r="S13" s="43"/>
      <c r="T13" s="43" t="s">
        <v>48</v>
      </c>
      <c r="U13" s="43"/>
      <c r="V13" s="43" t="s">
        <v>48</v>
      </c>
      <c r="W13" s="33">
        <f t="shared" si="0"/>
        <v>0</v>
      </c>
      <c r="X13" s="10"/>
      <c r="AA13" s="195">
        <v>12</v>
      </c>
      <c r="AC13" s="17" t="s">
        <v>94</v>
      </c>
      <c r="AD13" s="18">
        <v>1</v>
      </c>
    </row>
    <row r="14" spans="1:30" x14ac:dyDescent="0.25">
      <c r="A14" s="3">
        <v>9</v>
      </c>
      <c r="B14" s="8" t="s">
        <v>116</v>
      </c>
      <c r="C14" s="45"/>
      <c r="D14" s="43" t="s">
        <v>48</v>
      </c>
      <c r="E14" s="59" t="s">
        <v>299</v>
      </c>
      <c r="F14" s="43" t="s">
        <v>48</v>
      </c>
      <c r="G14" s="43" t="s">
        <v>48</v>
      </c>
      <c r="H14" s="43" t="s">
        <v>48</v>
      </c>
      <c r="I14" s="59" t="s">
        <v>299</v>
      </c>
      <c r="J14" s="43"/>
      <c r="K14" s="43"/>
      <c r="L14" s="59" t="s">
        <v>299</v>
      </c>
      <c r="M14" s="43"/>
      <c r="N14" s="43" t="s">
        <v>48</v>
      </c>
      <c r="O14" s="43"/>
      <c r="P14" s="43"/>
      <c r="Q14" s="43"/>
      <c r="R14" s="43" t="s">
        <v>48</v>
      </c>
      <c r="S14" s="43"/>
      <c r="T14" s="43" t="s">
        <v>48</v>
      </c>
      <c r="U14" s="43" t="s">
        <v>48</v>
      </c>
      <c r="V14" s="68" t="s">
        <v>299</v>
      </c>
      <c r="W14" s="33">
        <f t="shared" si="0"/>
        <v>0</v>
      </c>
      <c r="X14" s="10"/>
      <c r="AA14" s="195">
        <v>12</v>
      </c>
      <c r="AC14" s="65"/>
      <c r="AD14" s="9">
        <v>1</v>
      </c>
    </row>
    <row r="15" spans="1:30" x14ac:dyDescent="0.25">
      <c r="A15" s="3">
        <v>10</v>
      </c>
      <c r="B15" s="8" t="s">
        <v>82</v>
      </c>
      <c r="C15" s="49" t="s">
        <v>299</v>
      </c>
      <c r="D15" s="43"/>
      <c r="E15" s="43"/>
      <c r="F15" s="43"/>
      <c r="G15" s="59" t="s">
        <v>299</v>
      </c>
      <c r="H15" s="43" t="s">
        <v>48</v>
      </c>
      <c r="I15" s="59" t="s">
        <v>299</v>
      </c>
      <c r="J15" s="59" t="s">
        <v>299</v>
      </c>
      <c r="K15" s="43"/>
      <c r="L15" s="64" t="s">
        <v>52</v>
      </c>
      <c r="M15" s="43" t="s">
        <v>48</v>
      </c>
      <c r="N15" s="43"/>
      <c r="O15" s="43"/>
      <c r="P15" s="43"/>
      <c r="Q15" s="59" t="s">
        <v>299</v>
      </c>
      <c r="R15" s="43" t="s">
        <v>48</v>
      </c>
      <c r="S15" s="43"/>
      <c r="T15" s="11" t="s">
        <v>299</v>
      </c>
      <c r="U15" s="43" t="s">
        <v>48</v>
      </c>
      <c r="V15" s="43"/>
      <c r="W15" s="33">
        <f t="shared" si="0"/>
        <v>0</v>
      </c>
      <c r="X15" s="10"/>
      <c r="AA15" s="195">
        <v>10</v>
      </c>
    </row>
    <row r="16" spans="1:30" x14ac:dyDescent="0.25">
      <c r="A16" s="3">
        <v>11</v>
      </c>
      <c r="B16" s="8" t="s">
        <v>62</v>
      </c>
      <c r="C16" s="45" t="s">
        <v>48</v>
      </c>
      <c r="D16" s="43" t="s">
        <v>48</v>
      </c>
      <c r="E16" s="43" t="s">
        <v>48</v>
      </c>
      <c r="F16" s="43" t="s">
        <v>48</v>
      </c>
      <c r="G16" s="43" t="s">
        <v>48</v>
      </c>
      <c r="H16" s="43"/>
      <c r="I16" s="43" t="s">
        <v>48</v>
      </c>
      <c r="J16" s="59" t="s">
        <v>299</v>
      </c>
      <c r="K16" s="43"/>
      <c r="L16" s="43" t="s">
        <v>48</v>
      </c>
      <c r="M16" s="43"/>
      <c r="N16" s="43" t="s">
        <v>48</v>
      </c>
      <c r="O16" s="43"/>
      <c r="P16" s="43"/>
      <c r="Q16" s="43"/>
      <c r="R16" s="43"/>
      <c r="S16" s="43"/>
      <c r="T16" s="43" t="s">
        <v>48</v>
      </c>
      <c r="U16" s="43"/>
      <c r="V16" s="9" t="s">
        <v>48</v>
      </c>
      <c r="W16" s="33">
        <f t="shared" si="0"/>
        <v>0</v>
      </c>
      <c r="X16" s="10"/>
      <c r="AA16" s="195">
        <v>11</v>
      </c>
    </row>
    <row r="17" spans="1:27" x14ac:dyDescent="0.25">
      <c r="A17" s="3">
        <v>12</v>
      </c>
      <c r="B17" s="8" t="s">
        <v>122</v>
      </c>
      <c r="C17" s="45" t="s">
        <v>48</v>
      </c>
      <c r="D17" s="49" t="s">
        <v>299</v>
      </c>
      <c r="E17" s="43"/>
      <c r="F17" s="43"/>
      <c r="G17" s="59" t="s">
        <v>299</v>
      </c>
      <c r="H17" s="43" t="s">
        <v>48</v>
      </c>
      <c r="I17" s="61" t="s">
        <v>52</v>
      </c>
      <c r="J17" s="43" t="s">
        <v>48</v>
      </c>
      <c r="K17" s="43"/>
      <c r="L17" s="59" t="s">
        <v>299</v>
      </c>
      <c r="M17" s="43" t="s">
        <v>48</v>
      </c>
      <c r="N17" s="43"/>
      <c r="O17" s="43"/>
      <c r="P17" s="43"/>
      <c r="Q17" s="43" t="s">
        <v>48</v>
      </c>
      <c r="R17" s="43"/>
      <c r="S17" s="43"/>
      <c r="T17" s="11" t="s">
        <v>299</v>
      </c>
      <c r="U17" s="43"/>
      <c r="V17" s="43" t="s">
        <v>48</v>
      </c>
      <c r="W17" s="33">
        <f t="shared" si="0"/>
        <v>0</v>
      </c>
      <c r="X17" s="10"/>
      <c r="AA17" s="195">
        <v>10</v>
      </c>
    </row>
    <row r="18" spans="1:27" x14ac:dyDescent="0.25">
      <c r="A18" s="3">
        <v>13</v>
      </c>
      <c r="B18" s="8" t="s">
        <v>73</v>
      </c>
      <c r="C18" s="14" t="s">
        <v>74</v>
      </c>
      <c r="D18" s="14" t="s">
        <v>74</v>
      </c>
      <c r="E18" s="43"/>
      <c r="F18" s="43"/>
      <c r="G18" s="14" t="s">
        <v>74</v>
      </c>
      <c r="H18" s="43"/>
      <c r="I18" s="14" t="s">
        <v>74</v>
      </c>
      <c r="J18" s="14" t="s">
        <v>74</v>
      </c>
      <c r="K18" s="43"/>
      <c r="L18" s="14" t="s">
        <v>74</v>
      </c>
      <c r="M18" s="14" t="s">
        <v>74</v>
      </c>
      <c r="N18" s="14" t="s">
        <v>74</v>
      </c>
      <c r="O18" s="43"/>
      <c r="P18" s="43"/>
      <c r="Q18" s="43"/>
      <c r="R18" s="43"/>
      <c r="S18" s="43"/>
      <c r="T18" s="43"/>
      <c r="U18" s="69" t="s">
        <v>74</v>
      </c>
      <c r="V18" s="69" t="s">
        <v>74</v>
      </c>
      <c r="W18" s="33">
        <f t="shared" si="0"/>
        <v>0</v>
      </c>
      <c r="X18" s="10"/>
      <c r="AA18" s="195">
        <v>10</v>
      </c>
    </row>
    <row r="19" spans="1:27" x14ac:dyDescent="0.25">
      <c r="A19" s="3">
        <v>14</v>
      </c>
      <c r="B19" s="8" t="s">
        <v>64</v>
      </c>
      <c r="C19" s="45" t="s">
        <v>48</v>
      </c>
      <c r="D19" s="43" t="s">
        <v>48</v>
      </c>
      <c r="E19" s="59" t="s">
        <v>299</v>
      </c>
      <c r="F19" s="43"/>
      <c r="G19" s="43" t="s">
        <v>48</v>
      </c>
      <c r="H19" s="43"/>
      <c r="I19" s="43" t="s">
        <v>48</v>
      </c>
      <c r="J19" s="43" t="s">
        <v>48</v>
      </c>
      <c r="K19" s="43"/>
      <c r="L19" s="59" t="s">
        <v>299</v>
      </c>
      <c r="M19" s="43"/>
      <c r="N19" s="43" t="s">
        <v>48</v>
      </c>
      <c r="O19" s="43"/>
      <c r="P19" s="43"/>
      <c r="Q19" s="43"/>
      <c r="R19" s="43"/>
      <c r="S19" s="43"/>
      <c r="T19" s="43"/>
      <c r="U19" s="9" t="s">
        <v>48</v>
      </c>
      <c r="V19" s="9"/>
      <c r="W19" s="33">
        <f t="shared" si="0"/>
        <v>0</v>
      </c>
      <c r="X19" s="10"/>
      <c r="AA19" s="195">
        <v>9</v>
      </c>
    </row>
    <row r="20" spans="1:27" x14ac:dyDescent="0.25">
      <c r="A20" s="3">
        <v>15</v>
      </c>
      <c r="B20" s="8" t="s">
        <v>115</v>
      </c>
      <c r="C20" s="45" t="s">
        <v>48</v>
      </c>
      <c r="D20" s="43" t="s">
        <v>48</v>
      </c>
      <c r="E20" s="43" t="s">
        <v>48</v>
      </c>
      <c r="F20" s="43"/>
      <c r="G20" s="43" t="s">
        <v>48</v>
      </c>
      <c r="H20" s="43"/>
      <c r="I20" s="59" t="s">
        <v>299</v>
      </c>
      <c r="J20" s="43" t="s">
        <v>48</v>
      </c>
      <c r="K20" s="43"/>
      <c r="L20" s="43" t="s">
        <v>48</v>
      </c>
      <c r="M20" s="43"/>
      <c r="N20" s="43"/>
      <c r="O20" s="43"/>
      <c r="P20" s="43"/>
      <c r="Q20" s="43"/>
      <c r="R20" s="43"/>
      <c r="S20" s="43"/>
      <c r="T20" s="43"/>
      <c r="U20" s="43" t="s">
        <v>48</v>
      </c>
      <c r="V20" s="11" t="s">
        <v>299</v>
      </c>
      <c r="W20" s="33">
        <f t="shared" si="0"/>
        <v>0</v>
      </c>
      <c r="X20" s="10"/>
      <c r="AA20" s="195">
        <v>9</v>
      </c>
    </row>
    <row r="21" spans="1:27" x14ac:dyDescent="0.25">
      <c r="A21" s="3">
        <v>16</v>
      </c>
      <c r="B21" s="8" t="s">
        <v>119</v>
      </c>
      <c r="C21" s="45"/>
      <c r="D21" s="43"/>
      <c r="E21" s="43"/>
      <c r="F21" s="43"/>
      <c r="G21" s="43"/>
      <c r="H21" s="43"/>
      <c r="I21" s="43"/>
      <c r="J21" s="59" t="s">
        <v>299</v>
      </c>
      <c r="K21" s="43"/>
      <c r="L21" s="59" t="s">
        <v>299</v>
      </c>
      <c r="M21" s="43" t="s">
        <v>48</v>
      </c>
      <c r="N21" s="43" t="s">
        <v>48</v>
      </c>
      <c r="O21" s="43"/>
      <c r="P21" s="43"/>
      <c r="Q21" s="43" t="s">
        <v>48</v>
      </c>
      <c r="R21" s="43" t="s">
        <v>48</v>
      </c>
      <c r="S21" s="43"/>
      <c r="T21" s="43" t="s">
        <v>48</v>
      </c>
      <c r="U21" s="43" t="s">
        <v>48</v>
      </c>
      <c r="V21" s="43" t="s">
        <v>48</v>
      </c>
      <c r="W21" s="33">
        <f t="shared" si="0"/>
        <v>0</v>
      </c>
      <c r="X21" s="10"/>
      <c r="AA21" s="195">
        <v>9</v>
      </c>
    </row>
    <row r="22" spans="1:27" x14ac:dyDescent="0.25">
      <c r="A22" s="3">
        <v>17</v>
      </c>
      <c r="B22" s="8" t="s">
        <v>68</v>
      </c>
      <c r="C22" s="45"/>
      <c r="D22" s="43"/>
      <c r="E22" s="43" t="s">
        <v>48</v>
      </c>
      <c r="F22" s="43"/>
      <c r="G22" s="43"/>
      <c r="H22" s="43"/>
      <c r="I22" s="59" t="s">
        <v>299</v>
      </c>
      <c r="J22" s="59" t="s">
        <v>299</v>
      </c>
      <c r="K22" s="43"/>
      <c r="L22" s="43"/>
      <c r="M22" s="43"/>
      <c r="N22" s="43" t="s">
        <v>48</v>
      </c>
      <c r="O22" s="43"/>
      <c r="P22" s="43"/>
      <c r="Q22" s="43"/>
      <c r="R22" s="43"/>
      <c r="S22" s="43"/>
      <c r="T22" s="43"/>
      <c r="U22" s="43"/>
      <c r="V22" s="43"/>
      <c r="W22" s="33">
        <f t="shared" si="0"/>
        <v>0</v>
      </c>
      <c r="X22" s="10"/>
      <c r="AA22" s="195">
        <v>4</v>
      </c>
    </row>
    <row r="23" spans="1:27" x14ac:dyDescent="0.25">
      <c r="A23" s="3">
        <v>18</v>
      </c>
      <c r="B23" s="8" t="s">
        <v>128</v>
      </c>
      <c r="C23" s="49" t="s">
        <v>299</v>
      </c>
      <c r="D23" s="43"/>
      <c r="E23" s="43" t="s">
        <v>48</v>
      </c>
      <c r="F23" s="43" t="s">
        <v>48</v>
      </c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 t="s">
        <v>48</v>
      </c>
      <c r="S23" s="43"/>
      <c r="T23" s="43"/>
      <c r="U23" s="43"/>
      <c r="V23" s="43"/>
      <c r="W23" s="33">
        <f t="shared" si="0"/>
        <v>0</v>
      </c>
      <c r="X23" s="10"/>
      <c r="AA23" s="195">
        <v>4</v>
      </c>
    </row>
    <row r="24" spans="1:27" x14ac:dyDescent="0.25">
      <c r="A24" s="3">
        <v>19</v>
      </c>
      <c r="B24" s="8" t="s">
        <v>132</v>
      </c>
      <c r="C24" s="45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 t="s">
        <v>48</v>
      </c>
      <c r="R24" s="43"/>
      <c r="S24" s="43"/>
      <c r="T24" s="43"/>
      <c r="U24" s="43"/>
      <c r="V24" s="43"/>
      <c r="W24" s="33">
        <f t="shared" si="0"/>
        <v>0</v>
      </c>
      <c r="X24" s="10"/>
      <c r="AA24" s="195">
        <v>1</v>
      </c>
    </row>
    <row r="25" spans="1:27" x14ac:dyDescent="0.25">
      <c r="A25" s="3">
        <v>20</v>
      </c>
      <c r="B25" s="8"/>
      <c r="C25" s="45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33">
        <f t="shared" ref="W25:W30" si="1">SUM(C25:V25)</f>
        <v>0</v>
      </c>
      <c r="X25" s="10"/>
      <c r="AA25" s="195"/>
    </row>
    <row r="26" spans="1:27" x14ac:dyDescent="0.25">
      <c r="A26" s="3">
        <v>21</v>
      </c>
      <c r="B26" s="8"/>
      <c r="C26" s="45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33">
        <f t="shared" si="1"/>
        <v>0</v>
      </c>
      <c r="X26" s="10"/>
      <c r="AA26" s="195"/>
    </row>
    <row r="27" spans="1:27" x14ac:dyDescent="0.25">
      <c r="A27" s="3">
        <v>22</v>
      </c>
      <c r="B27" s="8"/>
      <c r="C27" s="45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33">
        <f t="shared" si="1"/>
        <v>0</v>
      </c>
      <c r="X27" s="10"/>
      <c r="AA27" s="195"/>
    </row>
    <row r="28" spans="1:27" x14ac:dyDescent="0.25">
      <c r="A28" s="3">
        <v>23</v>
      </c>
      <c r="B28" s="8"/>
      <c r="C28" s="45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33">
        <f t="shared" si="1"/>
        <v>0</v>
      </c>
      <c r="X28" s="10"/>
      <c r="AA28" s="195"/>
    </row>
    <row r="29" spans="1:27" x14ac:dyDescent="0.25">
      <c r="A29" s="3">
        <v>24</v>
      </c>
      <c r="B29" s="8"/>
      <c r="C29" s="45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33">
        <f t="shared" si="1"/>
        <v>0</v>
      </c>
      <c r="X29" s="10"/>
      <c r="AA29" s="195"/>
    </row>
    <row r="30" spans="1:27" x14ac:dyDescent="0.25">
      <c r="A30" s="3">
        <v>25</v>
      </c>
      <c r="B30" s="8"/>
      <c r="C30" s="45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33">
        <f t="shared" si="1"/>
        <v>0</v>
      </c>
      <c r="X30" s="10"/>
      <c r="AA30" s="195"/>
    </row>
    <row r="31" spans="1:27" x14ac:dyDescent="0.25">
      <c r="A31" s="3"/>
      <c r="B31" s="7"/>
      <c r="C31" s="55">
        <f t="shared" ref="C31:N31" si="2">SUM(C6:C30)</f>
        <v>0</v>
      </c>
      <c r="D31" s="56">
        <f t="shared" si="2"/>
        <v>0</v>
      </c>
      <c r="E31" s="56">
        <f t="shared" si="2"/>
        <v>0</v>
      </c>
      <c r="F31" s="56">
        <f t="shared" si="2"/>
        <v>0</v>
      </c>
      <c r="G31" s="56">
        <f t="shared" si="2"/>
        <v>0</v>
      </c>
      <c r="H31" s="56">
        <f t="shared" si="2"/>
        <v>0</v>
      </c>
      <c r="I31" s="56">
        <f t="shared" si="2"/>
        <v>0</v>
      </c>
      <c r="J31" s="56">
        <f t="shared" si="2"/>
        <v>0</v>
      </c>
      <c r="K31" s="56">
        <f t="shared" si="2"/>
        <v>0</v>
      </c>
      <c r="L31" s="56">
        <f t="shared" si="2"/>
        <v>0</v>
      </c>
      <c r="M31" s="56">
        <f t="shared" si="2"/>
        <v>0</v>
      </c>
      <c r="N31" s="56">
        <f t="shared" si="2"/>
        <v>0</v>
      </c>
      <c r="O31" s="56">
        <f t="shared" ref="O31:T31" si="3">SUM(O6:O30)</f>
        <v>0</v>
      </c>
      <c r="P31" s="56">
        <f t="shared" si="3"/>
        <v>0</v>
      </c>
      <c r="Q31" s="56">
        <f t="shared" si="3"/>
        <v>0</v>
      </c>
      <c r="R31" s="56">
        <f t="shared" si="3"/>
        <v>0</v>
      </c>
      <c r="S31" s="56">
        <f t="shared" si="3"/>
        <v>0</v>
      </c>
      <c r="T31" s="56">
        <f t="shared" si="3"/>
        <v>0</v>
      </c>
      <c r="U31" s="67">
        <f>SUM(U6:U30)</f>
        <v>0</v>
      </c>
      <c r="V31" s="56">
        <f>SUM(V6:V30)</f>
        <v>0</v>
      </c>
      <c r="W31" s="57">
        <f>SUM(W6:W30)</f>
        <v>0</v>
      </c>
      <c r="X31" s="144" t="s">
        <v>192</v>
      </c>
      <c r="Z31" s="6"/>
      <c r="AA31" s="6"/>
    </row>
    <row r="32" spans="1:27" x14ac:dyDescent="0.25">
      <c r="A32" s="7"/>
      <c r="B32" s="7"/>
      <c r="C32" s="7"/>
      <c r="D32" s="7"/>
      <c r="E32" s="7"/>
      <c r="F32" s="7"/>
      <c r="G32" s="7"/>
      <c r="H32" s="7"/>
      <c r="I32" s="19"/>
      <c r="J32" s="7"/>
      <c r="K32" s="7"/>
      <c r="L32" s="7"/>
      <c r="M32" s="7"/>
      <c r="N32" s="7"/>
      <c r="O32" s="7"/>
      <c r="P32" s="7"/>
      <c r="Q32" s="7"/>
      <c r="R32" s="7"/>
      <c r="S32" s="7"/>
      <c r="T32" s="6"/>
      <c r="U32" s="6"/>
      <c r="V32" s="7"/>
      <c r="W32" s="57">
        <f>SUM(C31:V31)</f>
        <v>0</v>
      </c>
      <c r="X32" s="143"/>
      <c r="Z32" s="65" t="s">
        <v>84</v>
      </c>
      <c r="AA32" s="195">
        <f>SUM(AA6:AA27)</f>
        <v>188</v>
      </c>
    </row>
    <row r="33" spans="1:27" x14ac:dyDescent="0.25">
      <c r="A33" s="7"/>
      <c r="B33" s="7"/>
      <c r="C33" s="7"/>
      <c r="D33" s="7"/>
      <c r="E33" s="7"/>
      <c r="F33" s="7"/>
      <c r="G33" s="7"/>
      <c r="H33" s="7"/>
      <c r="I33" s="1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6"/>
      <c r="X33" s="6"/>
      <c r="Y33" s="6"/>
      <c r="Z33" s="6"/>
      <c r="AA33" s="6"/>
    </row>
    <row r="34" spans="1:27" x14ac:dyDescent="0.25">
      <c r="A34" s="7"/>
      <c r="B34" s="7"/>
      <c r="C34" s="7"/>
      <c r="D34" s="7"/>
      <c r="E34" s="19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6"/>
      <c r="S34" s="6"/>
      <c r="T34" s="6"/>
      <c r="U34" s="6"/>
      <c r="V34" s="7"/>
      <c r="W34" s="6"/>
    </row>
    <row r="35" spans="1:27" x14ac:dyDescent="0.25">
      <c r="A35" s="7"/>
      <c r="C35" s="7"/>
      <c r="D35" s="7"/>
      <c r="E35" s="19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6"/>
      <c r="S35" s="6"/>
      <c r="T35" s="6"/>
      <c r="U35" s="6"/>
      <c r="V35" s="7"/>
      <c r="W35" s="6"/>
    </row>
    <row r="36" spans="1:27" x14ac:dyDescent="0.25">
      <c r="A36" s="7"/>
      <c r="B36" s="19"/>
      <c r="C36" s="7"/>
      <c r="D36" s="7"/>
      <c r="E36" s="19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6"/>
      <c r="S36" s="6"/>
      <c r="T36" s="6"/>
      <c r="U36" s="6"/>
      <c r="V36" s="7"/>
      <c r="W36" s="6"/>
    </row>
    <row r="37" spans="1:27" x14ac:dyDescent="0.25">
      <c r="A37" s="7"/>
      <c r="B37" s="21" t="s">
        <v>87</v>
      </c>
      <c r="C37" s="20">
        <v>3</v>
      </c>
      <c r="D37" s="7"/>
      <c r="E37" s="19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6"/>
      <c r="S37" s="6"/>
      <c r="T37" s="6"/>
      <c r="U37" s="6"/>
      <c r="V37" s="7"/>
      <c r="W37" s="6"/>
    </row>
    <row r="38" spans="1:27" x14ac:dyDescent="0.25">
      <c r="A38" s="7"/>
      <c r="B38" s="22" t="s">
        <v>88</v>
      </c>
      <c r="C38" s="20">
        <v>11</v>
      </c>
      <c r="D38" s="7"/>
      <c r="E38" s="19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6"/>
      <c r="S38" s="6"/>
      <c r="T38" s="6"/>
      <c r="U38" s="6"/>
      <c r="V38" s="7"/>
      <c r="W38" s="6"/>
    </row>
    <row r="39" spans="1:27" x14ac:dyDescent="0.25">
      <c r="A39" s="7"/>
      <c r="B39" s="15" t="s">
        <v>90</v>
      </c>
      <c r="C39" s="23">
        <v>2</v>
      </c>
      <c r="D39" s="7"/>
      <c r="E39" s="19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6"/>
      <c r="S39" s="6"/>
      <c r="T39" s="6"/>
      <c r="U39" s="6"/>
      <c r="V39" s="7"/>
      <c r="W39" s="6"/>
    </row>
    <row r="40" spans="1:27" x14ac:dyDescent="0.25">
      <c r="A40" s="7"/>
      <c r="B40" s="7"/>
      <c r="C40" s="24">
        <f>SUM(C37:C39)</f>
        <v>16</v>
      </c>
      <c r="D40" s="7"/>
      <c r="E40" s="19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6"/>
      <c r="S40" s="6"/>
      <c r="T40" s="6"/>
      <c r="U40" s="6"/>
      <c r="V40" s="7"/>
      <c r="W40" s="6"/>
    </row>
    <row r="41" spans="1:27" x14ac:dyDescent="0.25">
      <c r="A41" s="7"/>
      <c r="B41" s="7"/>
      <c r="C41" s="7"/>
      <c r="D41" s="7"/>
      <c r="E41" s="19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6"/>
      <c r="S41" s="6"/>
      <c r="T41" s="6"/>
      <c r="U41" s="6"/>
      <c r="V41" s="7"/>
      <c r="W41" s="6"/>
    </row>
    <row r="42" spans="1:27" x14ac:dyDescent="0.25">
      <c r="A42" s="7"/>
      <c r="B42" s="7"/>
      <c r="C42" s="7"/>
      <c r="D42" s="7"/>
      <c r="E42" s="19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6"/>
      <c r="S42" s="6"/>
      <c r="T42" s="6"/>
      <c r="U42" s="6"/>
      <c r="V42" s="7"/>
      <c r="W42" s="6"/>
    </row>
    <row r="43" spans="1:27" x14ac:dyDescent="0.25">
      <c r="E43" s="2"/>
      <c r="I43" s="1"/>
    </row>
    <row r="46" spans="1:27" ht="34.200000000000003" x14ac:dyDescent="0.25">
      <c r="C46" s="34" t="s">
        <v>3</v>
      </c>
      <c r="D46" s="58" t="s">
        <v>5</v>
      </c>
      <c r="E46" s="60" t="s">
        <v>151</v>
      </c>
      <c r="F46" s="58" t="s">
        <v>152</v>
      </c>
      <c r="G46" s="58" t="s">
        <v>153</v>
      </c>
      <c r="H46" s="62" t="s">
        <v>3</v>
      </c>
      <c r="I46" s="58" t="s">
        <v>3</v>
      </c>
      <c r="J46" s="60" t="s">
        <v>1</v>
      </c>
      <c r="K46" s="63" t="s">
        <v>154</v>
      </c>
      <c r="L46" s="58" t="s">
        <v>152</v>
      </c>
      <c r="M46" s="62" t="s">
        <v>3</v>
      </c>
      <c r="N46" s="58" t="s">
        <v>155</v>
      </c>
      <c r="O46" s="66" t="s">
        <v>156</v>
      </c>
      <c r="P46" s="66" t="s">
        <v>156</v>
      </c>
      <c r="Q46" s="58" t="s">
        <v>4</v>
      </c>
      <c r="R46" s="62" t="s">
        <v>157</v>
      </c>
      <c r="S46" s="63" t="s">
        <v>156</v>
      </c>
      <c r="T46" s="58" t="s">
        <v>158</v>
      </c>
      <c r="U46" s="58" t="s">
        <v>157</v>
      </c>
      <c r="V46" s="58" t="s">
        <v>159</v>
      </c>
    </row>
    <row r="48" spans="1:27" x14ac:dyDescent="0.25">
      <c r="B48" s="106" t="s">
        <v>193</v>
      </c>
      <c r="C48" s="1">
        <v>2</v>
      </c>
      <c r="D48" s="1">
        <v>1</v>
      </c>
      <c r="E48" s="1">
        <v>4</v>
      </c>
      <c r="F48" s="1">
        <v>1</v>
      </c>
      <c r="G48" s="1">
        <v>1</v>
      </c>
      <c r="H48" s="1">
        <v>3</v>
      </c>
      <c r="I48" s="2">
        <v>2</v>
      </c>
      <c r="J48" s="1">
        <v>1</v>
      </c>
      <c r="L48" s="1">
        <v>1</v>
      </c>
      <c r="M48" s="1">
        <v>3</v>
      </c>
      <c r="N48" s="1">
        <v>1</v>
      </c>
      <c r="Q48" s="1">
        <v>0</v>
      </c>
      <c r="R48" s="1">
        <v>6</v>
      </c>
      <c r="T48" s="1">
        <v>1</v>
      </c>
      <c r="U48" s="1">
        <v>0</v>
      </c>
      <c r="V48" s="1">
        <v>2</v>
      </c>
      <c r="W48">
        <f>SUM(C48:V48)</f>
        <v>29</v>
      </c>
    </row>
    <row r="49" spans="2:23" x14ac:dyDescent="0.25">
      <c r="B49" s="106" t="s">
        <v>194</v>
      </c>
      <c r="C49" s="1">
        <v>3</v>
      </c>
      <c r="D49" s="1">
        <v>2</v>
      </c>
      <c r="E49" s="1">
        <v>4</v>
      </c>
      <c r="F49" s="1">
        <v>5</v>
      </c>
      <c r="G49" s="1">
        <v>6</v>
      </c>
      <c r="H49" s="1">
        <v>2</v>
      </c>
      <c r="I49" s="2">
        <v>3</v>
      </c>
      <c r="J49" s="1">
        <v>1</v>
      </c>
      <c r="L49" s="1">
        <v>5</v>
      </c>
      <c r="M49" s="1">
        <v>2</v>
      </c>
      <c r="N49" s="1">
        <v>3</v>
      </c>
      <c r="Q49" s="1">
        <v>3</v>
      </c>
      <c r="R49" s="1">
        <v>0</v>
      </c>
      <c r="T49" s="1">
        <v>4</v>
      </c>
      <c r="U49" s="1">
        <v>6</v>
      </c>
      <c r="V49" s="1">
        <v>3</v>
      </c>
      <c r="W49">
        <f>SUM(C49:V49)</f>
        <v>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44"/>
  <sheetViews>
    <sheetView zoomScale="85" zoomScaleNormal="85" workbookViewId="0">
      <selection activeCell="C6" sqref="C6:V29"/>
    </sheetView>
  </sheetViews>
  <sheetFormatPr defaultRowHeight="13.2" x14ac:dyDescent="0.25"/>
  <cols>
    <col min="2" max="2" width="22.33203125" customWidth="1"/>
  </cols>
  <sheetData>
    <row r="1" spans="1:31" x14ac:dyDescent="0.25">
      <c r="C1" t="s">
        <v>297</v>
      </c>
      <c r="D1" t="s">
        <v>296</v>
      </c>
      <c r="E1" t="s">
        <v>296</v>
      </c>
      <c r="F1" t="s">
        <v>50</v>
      </c>
      <c r="G1" t="s">
        <v>297</v>
      </c>
      <c r="H1" t="s">
        <v>297</v>
      </c>
      <c r="I1" t="s">
        <v>297</v>
      </c>
      <c r="J1" t="s">
        <v>297</v>
      </c>
      <c r="K1" t="s">
        <v>50</v>
      </c>
      <c r="L1" t="s">
        <v>296</v>
      </c>
      <c r="M1" t="s">
        <v>50</v>
      </c>
      <c r="N1" t="s">
        <v>296</v>
      </c>
      <c r="O1" t="s">
        <v>296</v>
      </c>
      <c r="P1" t="s">
        <v>50</v>
      </c>
      <c r="Q1" t="s">
        <v>296</v>
      </c>
      <c r="R1" t="s">
        <v>50</v>
      </c>
      <c r="S1" t="s">
        <v>298</v>
      </c>
      <c r="T1" t="s">
        <v>50</v>
      </c>
      <c r="U1" t="s">
        <v>296</v>
      </c>
      <c r="V1" t="s">
        <v>297</v>
      </c>
    </row>
    <row r="2" spans="1:31" x14ac:dyDescent="0.25">
      <c r="C2" t="s">
        <v>295</v>
      </c>
      <c r="D2" t="s">
        <v>52</v>
      </c>
      <c r="E2" t="s">
        <v>295</v>
      </c>
      <c r="F2" t="s">
        <v>295</v>
      </c>
      <c r="G2" t="s">
        <v>52</v>
      </c>
      <c r="H2" t="s">
        <v>295</v>
      </c>
      <c r="I2" t="s">
        <v>52</v>
      </c>
      <c r="J2" t="s">
        <v>295</v>
      </c>
      <c r="K2" t="s">
        <v>52</v>
      </c>
      <c r="L2" t="s">
        <v>295</v>
      </c>
      <c r="M2" t="s">
        <v>52</v>
      </c>
      <c r="N2" t="s">
        <v>295</v>
      </c>
      <c r="O2" t="s">
        <v>52</v>
      </c>
      <c r="P2" t="s">
        <v>52</v>
      </c>
      <c r="Q2" t="s">
        <v>52</v>
      </c>
      <c r="R2" t="s">
        <v>295</v>
      </c>
      <c r="S2" t="s">
        <v>295</v>
      </c>
      <c r="T2" t="s">
        <v>295</v>
      </c>
      <c r="U2" t="s">
        <v>52</v>
      </c>
      <c r="V2" t="s">
        <v>295</v>
      </c>
    </row>
    <row r="3" spans="1:31" ht="51.75" customHeight="1" x14ac:dyDescent="0.25">
      <c r="A3" s="43"/>
      <c r="B3" s="4"/>
      <c r="C3" s="73" t="s">
        <v>1</v>
      </c>
      <c r="D3" s="58" t="s">
        <v>8</v>
      </c>
      <c r="E3" s="58" t="s">
        <v>195</v>
      </c>
      <c r="F3" s="62" t="s">
        <v>196</v>
      </c>
      <c r="G3" s="73" t="s">
        <v>197</v>
      </c>
      <c r="H3" s="73" t="s">
        <v>1</v>
      </c>
      <c r="I3" s="73" t="s">
        <v>13</v>
      </c>
      <c r="J3" s="73" t="s">
        <v>197</v>
      </c>
      <c r="K3" s="62" t="s">
        <v>198</v>
      </c>
      <c r="L3" s="58" t="s">
        <v>5</v>
      </c>
      <c r="M3" s="62" t="s">
        <v>9</v>
      </c>
      <c r="N3" s="58" t="s">
        <v>5</v>
      </c>
      <c r="O3" s="58" t="s">
        <v>199</v>
      </c>
      <c r="P3" s="62" t="s">
        <v>198</v>
      </c>
      <c r="Q3" s="58" t="s">
        <v>196</v>
      </c>
      <c r="R3" s="62" t="s">
        <v>5</v>
      </c>
      <c r="S3" s="63" t="s">
        <v>154</v>
      </c>
      <c r="T3" s="62" t="s">
        <v>5</v>
      </c>
      <c r="U3" s="58" t="s">
        <v>9</v>
      </c>
      <c r="V3" s="73" t="s">
        <v>1</v>
      </c>
      <c r="W3" s="5"/>
      <c r="X3" s="6"/>
      <c r="Y3" s="6"/>
      <c r="Z3" s="6"/>
      <c r="AA3" s="6"/>
      <c r="AB3" s="6"/>
    </row>
    <row r="4" spans="1:31" ht="82.8" x14ac:dyDescent="0.25">
      <c r="A4" s="3"/>
      <c r="B4" s="7"/>
      <c r="C4" s="72" t="s">
        <v>200</v>
      </c>
      <c r="D4" s="71" t="s">
        <v>201</v>
      </c>
      <c r="E4" s="72" t="s">
        <v>202</v>
      </c>
      <c r="F4" s="74" t="s">
        <v>203</v>
      </c>
      <c r="G4" s="71" t="s">
        <v>162</v>
      </c>
      <c r="H4" s="72" t="s">
        <v>204</v>
      </c>
      <c r="I4" s="71" t="s">
        <v>205</v>
      </c>
      <c r="J4" s="72" t="s">
        <v>206</v>
      </c>
      <c r="K4" s="89" t="s">
        <v>207</v>
      </c>
      <c r="L4" s="72" t="s">
        <v>208</v>
      </c>
      <c r="M4" s="89" t="s">
        <v>200</v>
      </c>
      <c r="N4" s="72" t="s">
        <v>201</v>
      </c>
      <c r="O4" s="89" t="s">
        <v>202</v>
      </c>
      <c r="P4" s="89" t="s">
        <v>209</v>
      </c>
      <c r="Q4" s="89" t="s">
        <v>210</v>
      </c>
      <c r="R4" s="72" t="s">
        <v>162</v>
      </c>
      <c r="S4" s="72" t="s">
        <v>206</v>
      </c>
      <c r="T4" s="72" t="s">
        <v>207</v>
      </c>
      <c r="U4" s="89" t="s">
        <v>208</v>
      </c>
      <c r="V4" s="72" t="s">
        <v>160</v>
      </c>
      <c r="X4" s="100" t="s">
        <v>29</v>
      </c>
      <c r="Y4" s="100" t="s">
        <v>211</v>
      </c>
      <c r="Z4" s="100" t="s">
        <v>33</v>
      </c>
      <c r="AE4" s="100" t="s">
        <v>34</v>
      </c>
    </row>
    <row r="5" spans="1:31" ht="43.8" x14ac:dyDescent="0.25">
      <c r="A5" s="3"/>
      <c r="B5" s="46" t="s">
        <v>39</v>
      </c>
      <c r="C5" s="75">
        <v>43344</v>
      </c>
      <c r="D5" s="76">
        <v>43351</v>
      </c>
      <c r="E5" s="76">
        <v>43358</v>
      </c>
      <c r="F5" s="76">
        <v>43365</v>
      </c>
      <c r="G5" s="76">
        <v>43379</v>
      </c>
      <c r="H5" s="76">
        <v>43386</v>
      </c>
      <c r="I5" s="76">
        <v>43393</v>
      </c>
      <c r="J5" s="76">
        <v>43400</v>
      </c>
      <c r="K5" s="76">
        <v>43407</v>
      </c>
      <c r="L5" s="76">
        <v>43414</v>
      </c>
      <c r="M5" s="76">
        <v>43421</v>
      </c>
      <c r="N5" s="76">
        <v>43428</v>
      </c>
      <c r="O5" s="76">
        <v>43435</v>
      </c>
      <c r="P5" s="76">
        <v>43440</v>
      </c>
      <c r="Q5" s="76">
        <v>43449</v>
      </c>
      <c r="R5" s="76">
        <v>43112</v>
      </c>
      <c r="S5" s="76">
        <v>43133</v>
      </c>
      <c r="T5" s="76">
        <v>43140</v>
      </c>
      <c r="U5" s="76">
        <v>43147</v>
      </c>
      <c r="V5" s="76">
        <v>43519</v>
      </c>
      <c r="W5" s="5"/>
      <c r="X5" s="6"/>
      <c r="Y5" s="6"/>
      <c r="Z5" s="6"/>
      <c r="AA5" s="6"/>
      <c r="AB5" s="6"/>
    </row>
    <row r="6" spans="1:31" x14ac:dyDescent="0.25">
      <c r="A6" s="3">
        <v>1</v>
      </c>
      <c r="B6" s="8" t="s">
        <v>118</v>
      </c>
      <c r="C6" s="49" t="s">
        <v>299</v>
      </c>
      <c r="D6" s="43" t="s">
        <v>48</v>
      </c>
      <c r="E6" s="43" t="s">
        <v>48</v>
      </c>
      <c r="F6" s="9" t="s">
        <v>48</v>
      </c>
      <c r="G6" s="9" t="s">
        <v>48</v>
      </c>
      <c r="H6" s="59" t="s">
        <v>299</v>
      </c>
      <c r="I6" s="43" t="s">
        <v>48</v>
      </c>
      <c r="J6" s="87" t="s">
        <v>48</v>
      </c>
      <c r="K6" s="43"/>
      <c r="L6" s="59" t="s">
        <v>299</v>
      </c>
      <c r="M6" s="43" t="s">
        <v>48</v>
      </c>
      <c r="N6" s="43" t="s">
        <v>48</v>
      </c>
      <c r="O6" s="78" t="s">
        <v>74</v>
      </c>
      <c r="P6" s="59" t="s">
        <v>299</v>
      </c>
      <c r="Q6" s="43" t="s">
        <v>48</v>
      </c>
      <c r="R6" s="9" t="s">
        <v>48</v>
      </c>
      <c r="S6" s="85"/>
      <c r="T6" s="43" t="s">
        <v>48</v>
      </c>
      <c r="U6" s="43" t="s">
        <v>48</v>
      </c>
      <c r="V6" s="77" t="s">
        <v>52</v>
      </c>
      <c r="W6" s="105">
        <f>SUM(C6:V6)</f>
        <v>0</v>
      </c>
      <c r="X6" s="101" t="s">
        <v>212</v>
      </c>
      <c r="Y6" s="101">
        <v>1</v>
      </c>
      <c r="Z6" s="102">
        <f t="shared" ref="Z6:Z29" si="0">(X6/(W6-Y6))*100</f>
        <v>-400</v>
      </c>
      <c r="AA6" s="93" t="s">
        <v>85</v>
      </c>
      <c r="AE6" s="195">
        <f>W6-Y6</f>
        <v>-1</v>
      </c>
    </row>
    <row r="7" spans="1:31" x14ac:dyDescent="0.25">
      <c r="A7" s="3">
        <v>2</v>
      </c>
      <c r="B7" s="8" t="s">
        <v>51</v>
      </c>
      <c r="C7" s="45" t="s">
        <v>48</v>
      </c>
      <c r="D7" s="43" t="s">
        <v>48</v>
      </c>
      <c r="E7" s="43"/>
      <c r="F7" s="43" t="s">
        <v>48</v>
      </c>
      <c r="G7" s="43" t="s">
        <v>48</v>
      </c>
      <c r="H7" s="43" t="s">
        <v>48</v>
      </c>
      <c r="I7" s="59" t="s">
        <v>299</v>
      </c>
      <c r="J7" s="87" t="s">
        <v>48</v>
      </c>
      <c r="K7" s="43" t="s">
        <v>48</v>
      </c>
      <c r="L7" s="43" t="s">
        <v>48</v>
      </c>
      <c r="M7" s="59" t="s">
        <v>299</v>
      </c>
      <c r="N7" s="43" t="s">
        <v>48</v>
      </c>
      <c r="O7" s="43" t="s">
        <v>48</v>
      </c>
      <c r="P7" s="59" t="s">
        <v>299</v>
      </c>
      <c r="Q7" s="43" t="s">
        <v>48</v>
      </c>
      <c r="R7" s="43" t="s">
        <v>48</v>
      </c>
      <c r="S7" s="86"/>
      <c r="T7" s="43" t="s">
        <v>48</v>
      </c>
      <c r="U7" s="43" t="s">
        <v>48</v>
      </c>
      <c r="V7" s="43" t="s">
        <v>48</v>
      </c>
      <c r="W7" s="105">
        <f>SUM(C7:V7)</f>
        <v>0</v>
      </c>
      <c r="X7" s="101" t="s">
        <v>213</v>
      </c>
      <c r="Y7" s="101">
        <v>0</v>
      </c>
      <c r="Z7" s="102" t="e">
        <f t="shared" si="0"/>
        <v>#DIV/0!</v>
      </c>
      <c r="AA7" s="94" t="s">
        <v>86</v>
      </c>
      <c r="AE7" s="195">
        <f>W7-Y7</f>
        <v>0</v>
      </c>
    </row>
    <row r="8" spans="1:31" x14ac:dyDescent="0.25">
      <c r="A8" s="3">
        <v>3</v>
      </c>
      <c r="B8" s="8" t="s">
        <v>115</v>
      </c>
      <c r="C8" s="49" t="s">
        <v>299</v>
      </c>
      <c r="D8" s="43" t="s">
        <v>48</v>
      </c>
      <c r="E8" s="9" t="s">
        <v>48</v>
      </c>
      <c r="F8" s="43" t="s">
        <v>48</v>
      </c>
      <c r="G8" s="43" t="s">
        <v>48</v>
      </c>
      <c r="H8" s="59" t="s">
        <v>299</v>
      </c>
      <c r="I8" s="59" t="s">
        <v>299</v>
      </c>
      <c r="J8" s="87" t="s">
        <v>48</v>
      </c>
      <c r="K8" s="43" t="s">
        <v>48</v>
      </c>
      <c r="L8" s="59" t="s">
        <v>299</v>
      </c>
      <c r="M8" s="43" t="s">
        <v>48</v>
      </c>
      <c r="N8" s="43" t="s">
        <v>48</v>
      </c>
      <c r="O8" s="59" t="s">
        <v>299</v>
      </c>
      <c r="P8" s="87" t="s">
        <v>48</v>
      </c>
      <c r="Q8" s="77" t="s">
        <v>52</v>
      </c>
      <c r="R8" s="43"/>
      <c r="S8" s="85"/>
      <c r="T8" s="43" t="s">
        <v>48</v>
      </c>
      <c r="U8" s="43"/>
      <c r="V8" s="43"/>
      <c r="W8" s="105">
        <f>SUM(C8:U8)</f>
        <v>0</v>
      </c>
      <c r="X8" s="101" t="s">
        <v>214</v>
      </c>
      <c r="Y8" s="101">
        <v>1</v>
      </c>
      <c r="Z8" s="102">
        <f t="shared" si="0"/>
        <v>-500</v>
      </c>
      <c r="AB8" s="6"/>
      <c r="AE8" s="195">
        <f t="shared" ref="AE8:AE31" si="1">W8-Y8</f>
        <v>-1</v>
      </c>
    </row>
    <row r="9" spans="1:31" x14ac:dyDescent="0.25">
      <c r="A9" s="3">
        <v>4</v>
      </c>
      <c r="B9" s="8" t="s">
        <v>70</v>
      </c>
      <c r="C9" s="45" t="s">
        <v>48</v>
      </c>
      <c r="D9" s="59" t="s">
        <v>299</v>
      </c>
      <c r="E9" s="43"/>
      <c r="F9" s="43" t="s">
        <v>48</v>
      </c>
      <c r="G9" s="43"/>
      <c r="H9" s="43" t="s">
        <v>48</v>
      </c>
      <c r="I9" s="59" t="s">
        <v>299</v>
      </c>
      <c r="J9" s="87" t="s">
        <v>48</v>
      </c>
      <c r="K9" s="43" t="s">
        <v>48</v>
      </c>
      <c r="L9" s="59" t="s">
        <v>299</v>
      </c>
      <c r="M9" s="43" t="s">
        <v>48</v>
      </c>
      <c r="N9" s="59" t="s">
        <v>299</v>
      </c>
      <c r="O9" s="43" t="s">
        <v>48</v>
      </c>
      <c r="P9" s="59" t="s">
        <v>299</v>
      </c>
      <c r="Q9" s="77" t="s">
        <v>52</v>
      </c>
      <c r="R9" s="43" t="s">
        <v>48</v>
      </c>
      <c r="S9" s="85"/>
      <c r="T9" s="43"/>
      <c r="U9" s="43" t="s">
        <v>48</v>
      </c>
      <c r="V9" s="43" t="s">
        <v>48</v>
      </c>
      <c r="W9" s="105">
        <f>SUM(C9:V9)</f>
        <v>0</v>
      </c>
      <c r="X9" s="101" t="s">
        <v>214</v>
      </c>
      <c r="Y9" s="101">
        <v>1</v>
      </c>
      <c r="Z9" s="102">
        <f t="shared" si="0"/>
        <v>-500</v>
      </c>
      <c r="AA9" s="95" t="s">
        <v>30</v>
      </c>
      <c r="AB9" s="14">
        <v>1</v>
      </c>
      <c r="AE9" s="195">
        <f t="shared" si="1"/>
        <v>-1</v>
      </c>
    </row>
    <row r="10" spans="1:31" x14ac:dyDescent="0.25">
      <c r="A10" s="3">
        <v>5</v>
      </c>
      <c r="B10" s="8" t="s">
        <v>72</v>
      </c>
      <c r="C10" s="45" t="s">
        <v>48</v>
      </c>
      <c r="D10" s="43"/>
      <c r="E10" s="43" t="s">
        <v>48</v>
      </c>
      <c r="F10" s="59" t="s">
        <v>299</v>
      </c>
      <c r="G10" s="78" t="s">
        <v>74</v>
      </c>
      <c r="H10" s="43" t="s">
        <v>48</v>
      </c>
      <c r="I10" s="59" t="s">
        <v>299</v>
      </c>
      <c r="J10" s="87"/>
      <c r="K10" s="43" t="s">
        <v>48</v>
      </c>
      <c r="L10" s="43"/>
      <c r="M10" s="78" t="s">
        <v>74</v>
      </c>
      <c r="N10" s="43" t="s">
        <v>48</v>
      </c>
      <c r="O10" s="59" t="s">
        <v>299</v>
      </c>
      <c r="P10" s="77" t="s">
        <v>52</v>
      </c>
      <c r="Q10" s="43" t="s">
        <v>48</v>
      </c>
      <c r="R10" s="43" t="s">
        <v>48</v>
      </c>
      <c r="S10" s="86"/>
      <c r="T10" s="43" t="s">
        <v>48</v>
      </c>
      <c r="U10" s="77" t="s">
        <v>52</v>
      </c>
      <c r="V10" s="78" t="s">
        <v>74</v>
      </c>
      <c r="W10" s="105">
        <f>SUM(C10:V10)</f>
        <v>0</v>
      </c>
      <c r="X10" s="101" t="s">
        <v>213</v>
      </c>
      <c r="Y10" s="101">
        <v>1</v>
      </c>
      <c r="Z10" s="102">
        <f t="shared" si="0"/>
        <v>-300</v>
      </c>
      <c r="AA10" s="96" t="s">
        <v>92</v>
      </c>
      <c r="AB10" s="11">
        <v>1</v>
      </c>
      <c r="AE10" s="195">
        <f t="shared" si="1"/>
        <v>-1</v>
      </c>
    </row>
    <row r="11" spans="1:31" x14ac:dyDescent="0.25">
      <c r="A11" s="3">
        <v>6</v>
      </c>
      <c r="B11" s="8" t="s">
        <v>119</v>
      </c>
      <c r="C11" s="45" t="s">
        <v>48</v>
      </c>
      <c r="D11" s="59" t="s">
        <v>299</v>
      </c>
      <c r="E11" s="43"/>
      <c r="F11" s="43" t="s">
        <v>48</v>
      </c>
      <c r="G11" s="43" t="s">
        <v>48</v>
      </c>
      <c r="H11" s="43" t="s">
        <v>48</v>
      </c>
      <c r="I11" s="43" t="s">
        <v>48</v>
      </c>
      <c r="J11" s="87" t="s">
        <v>48</v>
      </c>
      <c r="K11" s="59" t="s">
        <v>299</v>
      </c>
      <c r="L11" s="43" t="s">
        <v>48</v>
      </c>
      <c r="M11" s="77" t="s">
        <v>52</v>
      </c>
      <c r="N11" s="77" t="s">
        <v>52</v>
      </c>
      <c r="O11" s="43"/>
      <c r="P11" s="87" t="s">
        <v>48</v>
      </c>
      <c r="Q11" s="92"/>
      <c r="R11" s="43" t="s">
        <v>48</v>
      </c>
      <c r="S11" s="85"/>
      <c r="T11" s="43" t="s">
        <v>48</v>
      </c>
      <c r="U11" s="43" t="s">
        <v>48</v>
      </c>
      <c r="V11" s="43" t="s">
        <v>48</v>
      </c>
      <c r="W11" s="105">
        <f>SUM(C11:V11)</f>
        <v>0</v>
      </c>
      <c r="X11" s="101" t="s">
        <v>215</v>
      </c>
      <c r="Y11" s="101">
        <v>2</v>
      </c>
      <c r="Z11" s="102">
        <f t="shared" si="0"/>
        <v>-100</v>
      </c>
      <c r="AA11" s="97" t="s">
        <v>93</v>
      </c>
      <c r="AB11" s="12">
        <v>1</v>
      </c>
      <c r="AE11" s="195">
        <f t="shared" si="1"/>
        <v>-2</v>
      </c>
    </row>
    <row r="12" spans="1:31" x14ac:dyDescent="0.25">
      <c r="A12" s="3">
        <v>7</v>
      </c>
      <c r="B12" s="8" t="s">
        <v>77</v>
      </c>
      <c r="C12" s="49" t="s">
        <v>299</v>
      </c>
      <c r="D12" s="43"/>
      <c r="E12" s="43"/>
      <c r="F12" s="59" t="s">
        <v>299</v>
      </c>
      <c r="G12" s="43" t="s">
        <v>48</v>
      </c>
      <c r="H12" s="78" t="s">
        <v>74</v>
      </c>
      <c r="I12" s="43" t="s">
        <v>48</v>
      </c>
      <c r="J12" s="87" t="s">
        <v>48</v>
      </c>
      <c r="K12" s="78" t="s">
        <v>74</v>
      </c>
      <c r="L12" s="43" t="s">
        <v>48</v>
      </c>
      <c r="M12" s="43"/>
      <c r="N12" s="59" t="s">
        <v>299</v>
      </c>
      <c r="O12" s="43" t="s">
        <v>48</v>
      </c>
      <c r="P12" s="87"/>
      <c r="Q12" s="59" t="s">
        <v>299</v>
      </c>
      <c r="R12" s="43" t="s">
        <v>48</v>
      </c>
      <c r="S12" s="85"/>
      <c r="T12" s="78" t="s">
        <v>74</v>
      </c>
      <c r="U12" s="78" t="s">
        <v>74</v>
      </c>
      <c r="V12" s="43" t="s">
        <v>48</v>
      </c>
      <c r="W12" s="105">
        <f>SUM(C12:U12)</f>
        <v>0</v>
      </c>
      <c r="X12" s="101">
        <v>4</v>
      </c>
      <c r="Y12" s="101">
        <v>0</v>
      </c>
      <c r="Z12" s="102" t="e">
        <f t="shared" si="0"/>
        <v>#DIV/0!</v>
      </c>
      <c r="AA12" s="98" t="s">
        <v>32</v>
      </c>
      <c r="AB12" s="13">
        <v>1</v>
      </c>
      <c r="AE12" s="195">
        <f t="shared" si="1"/>
        <v>0</v>
      </c>
    </row>
    <row r="13" spans="1:31" x14ac:dyDescent="0.25">
      <c r="A13" s="3">
        <v>8</v>
      </c>
      <c r="B13" s="8" t="s">
        <v>61</v>
      </c>
      <c r="C13" s="45"/>
      <c r="D13" s="43"/>
      <c r="E13" s="43"/>
      <c r="F13" s="59" t="s">
        <v>299</v>
      </c>
      <c r="G13" s="43" t="s">
        <v>48</v>
      </c>
      <c r="H13" s="43" t="s">
        <v>48</v>
      </c>
      <c r="I13" s="59" t="s">
        <v>299</v>
      </c>
      <c r="J13" s="87" t="s">
        <v>48</v>
      </c>
      <c r="K13" s="43" t="s">
        <v>48</v>
      </c>
      <c r="L13" s="43" t="s">
        <v>48</v>
      </c>
      <c r="M13" s="59" t="s">
        <v>299</v>
      </c>
      <c r="N13" s="43" t="s">
        <v>48</v>
      </c>
      <c r="O13" s="59" t="s">
        <v>299</v>
      </c>
      <c r="P13" s="87"/>
      <c r="Q13" s="59" t="s">
        <v>299</v>
      </c>
      <c r="R13" s="43" t="s">
        <v>48</v>
      </c>
      <c r="S13" s="85"/>
      <c r="T13" s="43"/>
      <c r="U13" s="43" t="s">
        <v>48</v>
      </c>
      <c r="V13" s="59" t="s">
        <v>299</v>
      </c>
      <c r="W13" s="105">
        <f>SUM(C13:V13)</f>
        <v>0</v>
      </c>
      <c r="X13" s="101" t="s">
        <v>212</v>
      </c>
      <c r="Y13" s="101">
        <v>3</v>
      </c>
      <c r="Z13" s="102">
        <f t="shared" si="0"/>
        <v>-133.33333333333331</v>
      </c>
      <c r="AA13" s="99" t="s">
        <v>94</v>
      </c>
      <c r="AB13" s="18">
        <v>1</v>
      </c>
      <c r="AE13" s="195">
        <f t="shared" si="1"/>
        <v>-3</v>
      </c>
    </row>
    <row r="14" spans="1:31" x14ac:dyDescent="0.25">
      <c r="A14" s="3">
        <v>9</v>
      </c>
      <c r="B14" s="8" t="s">
        <v>55</v>
      </c>
      <c r="C14" s="45"/>
      <c r="D14" s="59" t="s">
        <v>299</v>
      </c>
      <c r="E14" s="77" t="s">
        <v>52</v>
      </c>
      <c r="F14" s="77" t="s">
        <v>52</v>
      </c>
      <c r="G14" s="61" t="s">
        <v>52</v>
      </c>
      <c r="H14" s="43"/>
      <c r="I14" s="59" t="s">
        <v>299</v>
      </c>
      <c r="J14" s="87" t="s">
        <v>48</v>
      </c>
      <c r="K14" s="43" t="s">
        <v>48</v>
      </c>
      <c r="L14" s="43" t="s">
        <v>48</v>
      </c>
      <c r="M14" s="43" t="s">
        <v>48</v>
      </c>
      <c r="N14" s="59" t="s">
        <v>299</v>
      </c>
      <c r="O14" s="59" t="s">
        <v>299</v>
      </c>
      <c r="P14" s="87"/>
      <c r="Q14" s="43" t="s">
        <v>48</v>
      </c>
      <c r="R14" s="43"/>
      <c r="S14" s="85"/>
      <c r="T14" s="43"/>
      <c r="U14" s="77" t="s">
        <v>52</v>
      </c>
      <c r="V14" s="43" t="s">
        <v>48</v>
      </c>
      <c r="W14" s="105">
        <f t="shared" ref="W14:W20" si="2">SUM(C14:U14)</f>
        <v>0</v>
      </c>
      <c r="X14" s="101">
        <v>6</v>
      </c>
      <c r="Y14" s="101">
        <v>0</v>
      </c>
      <c r="Z14" s="102" t="e">
        <f t="shared" si="0"/>
        <v>#DIV/0!</v>
      </c>
      <c r="AA14" s="65"/>
      <c r="AB14" s="9">
        <v>1</v>
      </c>
      <c r="AE14" s="195">
        <f t="shared" si="1"/>
        <v>0</v>
      </c>
    </row>
    <row r="15" spans="1:31" x14ac:dyDescent="0.25">
      <c r="A15" s="3">
        <v>10</v>
      </c>
      <c r="B15" s="8" t="s">
        <v>59</v>
      </c>
      <c r="C15" s="49" t="s">
        <v>299</v>
      </c>
      <c r="D15" s="43" t="s">
        <v>48</v>
      </c>
      <c r="E15" s="43" t="s">
        <v>48</v>
      </c>
      <c r="F15" s="43"/>
      <c r="G15" s="43"/>
      <c r="H15" s="59" t="s">
        <v>299</v>
      </c>
      <c r="I15" s="43" t="s">
        <v>48</v>
      </c>
      <c r="J15" s="59" t="s">
        <v>299</v>
      </c>
      <c r="K15" s="43" t="s">
        <v>48</v>
      </c>
      <c r="L15" s="43" t="s">
        <v>48</v>
      </c>
      <c r="M15" s="43" t="s">
        <v>48</v>
      </c>
      <c r="N15" s="43"/>
      <c r="O15" s="59" t="s">
        <v>299</v>
      </c>
      <c r="P15" s="87" t="s">
        <v>48</v>
      </c>
      <c r="Q15" s="43" t="s">
        <v>48</v>
      </c>
      <c r="R15" s="43"/>
      <c r="S15" s="86"/>
      <c r="T15" s="43"/>
      <c r="U15" s="43" t="s">
        <v>48</v>
      </c>
      <c r="V15" s="43" t="s">
        <v>48</v>
      </c>
      <c r="W15" s="105">
        <f t="shared" si="2"/>
        <v>0</v>
      </c>
      <c r="X15" s="101" t="s">
        <v>212</v>
      </c>
      <c r="Y15" s="101">
        <v>0</v>
      </c>
      <c r="Z15" s="102" t="e">
        <f t="shared" si="0"/>
        <v>#DIV/0!</v>
      </c>
      <c r="AA15" s="6"/>
      <c r="AB15" s="6"/>
      <c r="AE15" s="195">
        <f t="shared" si="1"/>
        <v>0</v>
      </c>
    </row>
    <row r="16" spans="1:31" x14ac:dyDescent="0.25">
      <c r="A16" s="3">
        <v>11</v>
      </c>
      <c r="B16" s="8" t="s">
        <v>73</v>
      </c>
      <c r="C16" s="84" t="s">
        <v>74</v>
      </c>
      <c r="D16" s="78" t="s">
        <v>74</v>
      </c>
      <c r="E16" s="78" t="s">
        <v>74</v>
      </c>
      <c r="F16" s="78" t="s">
        <v>74</v>
      </c>
      <c r="G16" s="43"/>
      <c r="H16" s="43"/>
      <c r="I16" s="78" t="s">
        <v>74</v>
      </c>
      <c r="J16" s="78" t="s">
        <v>74</v>
      </c>
      <c r="K16" s="43"/>
      <c r="L16" s="78" t="s">
        <v>74</v>
      </c>
      <c r="M16" s="43"/>
      <c r="N16" s="78" t="s">
        <v>74</v>
      </c>
      <c r="O16" s="43"/>
      <c r="P16" s="78" t="s">
        <v>74</v>
      </c>
      <c r="Q16" s="78" t="s">
        <v>74</v>
      </c>
      <c r="R16" s="78" t="s">
        <v>74</v>
      </c>
      <c r="S16" s="85"/>
      <c r="T16" s="43"/>
      <c r="U16" s="43"/>
      <c r="V16" s="43"/>
      <c r="W16" s="105">
        <f t="shared" si="2"/>
        <v>0</v>
      </c>
      <c r="X16" s="101" t="s">
        <v>216</v>
      </c>
      <c r="Y16" s="101">
        <v>0</v>
      </c>
      <c r="Z16" s="102" t="e">
        <f t="shared" si="0"/>
        <v>#DIV/0!</v>
      </c>
      <c r="AA16" s="6"/>
      <c r="AB16" s="6"/>
      <c r="AE16" s="195">
        <f t="shared" si="1"/>
        <v>0</v>
      </c>
    </row>
    <row r="17" spans="1:31" x14ac:dyDescent="0.25">
      <c r="A17" s="3">
        <v>12</v>
      </c>
      <c r="B17" s="8" t="s">
        <v>116</v>
      </c>
      <c r="C17" s="49" t="s">
        <v>299</v>
      </c>
      <c r="D17" s="45"/>
      <c r="E17" s="43"/>
      <c r="F17" s="43"/>
      <c r="G17" s="43"/>
      <c r="H17" s="59" t="s">
        <v>299</v>
      </c>
      <c r="I17" s="43" t="s">
        <v>48</v>
      </c>
      <c r="J17" s="59" t="s">
        <v>299</v>
      </c>
      <c r="K17" s="43" t="s">
        <v>48</v>
      </c>
      <c r="L17" s="59" t="s">
        <v>299</v>
      </c>
      <c r="M17" s="43" t="s">
        <v>48</v>
      </c>
      <c r="N17" s="43"/>
      <c r="O17" s="43"/>
      <c r="P17" s="87" t="s">
        <v>48</v>
      </c>
      <c r="Q17" s="59" t="s">
        <v>299</v>
      </c>
      <c r="R17" s="43"/>
      <c r="S17" s="86"/>
      <c r="T17" s="43"/>
      <c r="U17" s="59" t="s">
        <v>299</v>
      </c>
      <c r="V17" s="43" t="s">
        <v>48</v>
      </c>
      <c r="W17" s="105">
        <f t="shared" si="2"/>
        <v>0</v>
      </c>
      <c r="X17" s="101">
        <v>5</v>
      </c>
      <c r="Y17" s="101">
        <v>0</v>
      </c>
      <c r="Z17" s="102" t="e">
        <f t="shared" si="0"/>
        <v>#DIV/0!</v>
      </c>
      <c r="AA17" s="6"/>
      <c r="AB17" s="6"/>
      <c r="AE17" s="195">
        <f t="shared" si="1"/>
        <v>0</v>
      </c>
    </row>
    <row r="18" spans="1:31" x14ac:dyDescent="0.25">
      <c r="A18" s="3">
        <v>13</v>
      </c>
      <c r="B18" s="8" t="s">
        <v>117</v>
      </c>
      <c r="C18" s="9" t="s">
        <v>48</v>
      </c>
      <c r="D18" s="88" t="s">
        <v>299</v>
      </c>
      <c r="E18" s="43"/>
      <c r="F18" s="43" t="s">
        <v>48</v>
      </c>
      <c r="G18" s="43" t="s">
        <v>48</v>
      </c>
      <c r="H18" s="9"/>
      <c r="I18" s="59" t="s">
        <v>299</v>
      </c>
      <c r="J18" s="87"/>
      <c r="K18" s="43"/>
      <c r="L18" s="9"/>
      <c r="M18" s="88" t="s">
        <v>299</v>
      </c>
      <c r="N18" s="9"/>
      <c r="O18" s="43" t="s">
        <v>48</v>
      </c>
      <c r="P18" s="87" t="s">
        <v>48</v>
      </c>
      <c r="Q18" s="59" t="s">
        <v>299</v>
      </c>
      <c r="R18" s="43"/>
      <c r="S18" s="85"/>
      <c r="T18" s="43"/>
      <c r="U18" s="43" t="s">
        <v>48</v>
      </c>
      <c r="V18" s="43" t="s">
        <v>48</v>
      </c>
      <c r="W18" s="105">
        <f t="shared" si="2"/>
        <v>0</v>
      </c>
      <c r="X18" s="101">
        <v>4</v>
      </c>
      <c r="Y18" s="101">
        <v>0</v>
      </c>
      <c r="Z18" s="102" t="e">
        <f t="shared" si="0"/>
        <v>#DIV/0!</v>
      </c>
      <c r="AA18" s="6"/>
      <c r="AB18" s="6"/>
      <c r="AE18" s="195">
        <f t="shared" si="1"/>
        <v>0</v>
      </c>
    </row>
    <row r="19" spans="1:31" x14ac:dyDescent="0.25">
      <c r="A19" s="3">
        <v>14</v>
      </c>
      <c r="B19" s="8" t="s">
        <v>126</v>
      </c>
      <c r="C19" s="45" t="s">
        <v>48</v>
      </c>
      <c r="D19" s="43" t="s">
        <v>48</v>
      </c>
      <c r="E19" s="43" t="s">
        <v>48</v>
      </c>
      <c r="F19" s="59" t="s">
        <v>299</v>
      </c>
      <c r="G19" s="43"/>
      <c r="H19" s="43" t="s">
        <v>48</v>
      </c>
      <c r="I19" s="43"/>
      <c r="J19" s="87"/>
      <c r="K19" s="59" t="s">
        <v>299</v>
      </c>
      <c r="L19" s="43"/>
      <c r="M19" s="59" t="s">
        <v>299</v>
      </c>
      <c r="N19" s="43"/>
      <c r="O19" s="43"/>
      <c r="P19" s="87"/>
      <c r="Q19" s="43"/>
      <c r="R19" s="43" t="s">
        <v>48</v>
      </c>
      <c r="S19" s="85"/>
      <c r="T19" s="43" t="s">
        <v>48</v>
      </c>
      <c r="U19" s="43" t="s">
        <v>48</v>
      </c>
      <c r="V19" s="43"/>
      <c r="W19" s="105">
        <f t="shared" si="2"/>
        <v>0</v>
      </c>
      <c r="X19" s="101" t="s">
        <v>213</v>
      </c>
      <c r="Y19" s="101">
        <v>0</v>
      </c>
      <c r="Z19" s="102" t="e">
        <f t="shared" si="0"/>
        <v>#DIV/0!</v>
      </c>
      <c r="AA19" s="6"/>
      <c r="AB19" s="6"/>
      <c r="AE19" s="195">
        <f t="shared" si="1"/>
        <v>0</v>
      </c>
    </row>
    <row r="20" spans="1:31" x14ac:dyDescent="0.25">
      <c r="A20" s="3">
        <v>15</v>
      </c>
      <c r="B20" s="8" t="s">
        <v>49</v>
      </c>
      <c r="C20" s="45"/>
      <c r="D20" s="43"/>
      <c r="E20" s="43"/>
      <c r="F20" s="43"/>
      <c r="G20" s="43"/>
      <c r="H20" s="43"/>
      <c r="I20" s="87"/>
      <c r="J20" s="59" t="s">
        <v>299</v>
      </c>
      <c r="K20" s="59" t="s">
        <v>299</v>
      </c>
      <c r="L20" s="59" t="s">
        <v>299</v>
      </c>
      <c r="M20" s="43" t="s">
        <v>48</v>
      </c>
      <c r="N20" s="59" t="s">
        <v>299</v>
      </c>
      <c r="O20" s="43" t="s">
        <v>48</v>
      </c>
      <c r="P20" s="59" t="s">
        <v>299</v>
      </c>
      <c r="Q20" s="77" t="s">
        <v>52</v>
      </c>
      <c r="R20" s="43"/>
      <c r="S20" s="85"/>
      <c r="T20" s="43"/>
      <c r="U20" s="43" t="s">
        <v>48</v>
      </c>
      <c r="V20" s="59" t="s">
        <v>299</v>
      </c>
      <c r="W20" s="105">
        <f t="shared" si="2"/>
        <v>0</v>
      </c>
      <c r="X20" s="101">
        <v>6</v>
      </c>
      <c r="Y20" s="101">
        <v>1</v>
      </c>
      <c r="Z20" s="102">
        <f t="shared" si="0"/>
        <v>-600</v>
      </c>
      <c r="AA20" s="6"/>
      <c r="AB20" s="6"/>
      <c r="AE20" s="195">
        <f t="shared" si="1"/>
        <v>-1</v>
      </c>
    </row>
    <row r="21" spans="1:31" x14ac:dyDescent="0.25">
      <c r="A21" s="3">
        <v>16</v>
      </c>
      <c r="B21" s="8" t="s">
        <v>122</v>
      </c>
      <c r="C21" s="45" t="s">
        <v>48</v>
      </c>
      <c r="D21" s="59" t="s">
        <v>299</v>
      </c>
      <c r="E21" s="43"/>
      <c r="F21" s="43"/>
      <c r="G21" s="43" t="s">
        <v>48</v>
      </c>
      <c r="H21" s="43" t="s">
        <v>48</v>
      </c>
      <c r="I21" s="43"/>
      <c r="J21" s="87"/>
      <c r="K21" s="43"/>
      <c r="L21" s="43"/>
      <c r="M21" s="43"/>
      <c r="N21" s="43"/>
      <c r="O21" s="43" t="s">
        <v>48</v>
      </c>
      <c r="P21" s="87"/>
      <c r="Q21" s="59" t="s">
        <v>299</v>
      </c>
      <c r="R21" s="43"/>
      <c r="S21" s="85"/>
      <c r="T21" s="43" t="s">
        <v>48</v>
      </c>
      <c r="U21" s="59" t="s">
        <v>299</v>
      </c>
      <c r="V21" s="59" t="s">
        <v>299</v>
      </c>
      <c r="W21" s="105">
        <f>SUM(C21:V21)</f>
        <v>0</v>
      </c>
      <c r="X21" s="101">
        <v>6</v>
      </c>
      <c r="Y21" s="101">
        <v>2</v>
      </c>
      <c r="Z21" s="102">
        <f t="shared" si="0"/>
        <v>-300</v>
      </c>
      <c r="AA21" s="6" t="s">
        <v>69</v>
      </c>
      <c r="AB21" s="6"/>
      <c r="AE21" s="195">
        <f t="shared" si="1"/>
        <v>-2</v>
      </c>
    </row>
    <row r="22" spans="1:31" x14ac:dyDescent="0.25">
      <c r="A22" s="3">
        <v>17</v>
      </c>
      <c r="B22" s="8" t="s">
        <v>121</v>
      </c>
      <c r="C22" s="49" t="s">
        <v>299</v>
      </c>
      <c r="D22" s="43"/>
      <c r="E22" s="43"/>
      <c r="F22" s="43"/>
      <c r="G22" s="43"/>
      <c r="H22" s="61" t="s">
        <v>52</v>
      </c>
      <c r="I22" s="59" t="s">
        <v>299</v>
      </c>
      <c r="J22" s="87"/>
      <c r="K22" s="43"/>
      <c r="L22" s="59" t="s">
        <v>48</v>
      </c>
      <c r="M22" s="77" t="s">
        <v>52</v>
      </c>
      <c r="N22" s="59" t="s">
        <v>299</v>
      </c>
      <c r="O22" s="43"/>
      <c r="P22" s="59" t="s">
        <v>299</v>
      </c>
      <c r="Q22" s="59" t="s">
        <v>299</v>
      </c>
      <c r="R22" s="43"/>
      <c r="S22" s="85"/>
      <c r="T22" s="43"/>
      <c r="U22" s="43"/>
      <c r="V22" s="43"/>
      <c r="W22" s="105">
        <f t="shared" ref="W22:W29" si="3">SUM(C22:U22)</f>
        <v>0</v>
      </c>
      <c r="X22" s="101">
        <v>3</v>
      </c>
      <c r="Y22" s="101">
        <v>4</v>
      </c>
      <c r="Z22" s="102">
        <f t="shared" si="0"/>
        <v>-75</v>
      </c>
      <c r="AA22" s="6"/>
      <c r="AB22" s="6"/>
      <c r="AE22" s="195">
        <f t="shared" si="1"/>
        <v>-4</v>
      </c>
    </row>
    <row r="23" spans="1:31" x14ac:dyDescent="0.25">
      <c r="A23" s="3">
        <v>18</v>
      </c>
      <c r="B23" s="8" t="s">
        <v>120</v>
      </c>
      <c r="C23" s="45"/>
      <c r="D23" s="59" t="s">
        <v>299</v>
      </c>
      <c r="E23" s="43" t="s">
        <v>48</v>
      </c>
      <c r="F23" s="59" t="s">
        <v>299</v>
      </c>
      <c r="G23" s="43" t="s">
        <v>48</v>
      </c>
      <c r="H23" s="43"/>
      <c r="I23" s="61" t="s">
        <v>52</v>
      </c>
      <c r="J23" s="87"/>
      <c r="K23" s="77" t="s">
        <v>52</v>
      </c>
      <c r="L23" s="43"/>
      <c r="M23" s="77" t="s">
        <v>52</v>
      </c>
      <c r="N23" s="43"/>
      <c r="O23" s="43"/>
      <c r="P23" s="77" t="s">
        <v>52</v>
      </c>
      <c r="Q23" s="43"/>
      <c r="R23" s="43"/>
      <c r="S23" s="85"/>
      <c r="T23" s="43"/>
      <c r="U23" s="43"/>
      <c r="V23" s="59" t="s">
        <v>299</v>
      </c>
      <c r="W23" s="105">
        <f t="shared" si="3"/>
        <v>0</v>
      </c>
      <c r="X23" s="101" t="s">
        <v>213</v>
      </c>
      <c r="Y23" s="101">
        <v>0</v>
      </c>
      <c r="Z23" s="102" t="e">
        <f t="shared" si="0"/>
        <v>#DIV/0!</v>
      </c>
      <c r="AA23" s="6"/>
      <c r="AB23" s="6"/>
      <c r="AE23" s="195">
        <f t="shared" si="1"/>
        <v>0</v>
      </c>
    </row>
    <row r="24" spans="1:31" x14ac:dyDescent="0.25">
      <c r="A24" s="3">
        <v>19</v>
      </c>
      <c r="B24" s="8" t="s">
        <v>64</v>
      </c>
      <c r="C24" s="45"/>
      <c r="D24" s="43" t="s">
        <v>48</v>
      </c>
      <c r="E24" s="43"/>
      <c r="F24" s="43" t="s">
        <v>48</v>
      </c>
      <c r="G24" s="43"/>
      <c r="H24" s="43"/>
      <c r="I24" s="43"/>
      <c r="J24" s="59" t="s">
        <v>299</v>
      </c>
      <c r="K24" s="43"/>
      <c r="L24" s="43"/>
      <c r="M24" s="59" t="s">
        <v>299</v>
      </c>
      <c r="N24" s="59" t="s">
        <v>299</v>
      </c>
      <c r="O24" s="43"/>
      <c r="P24" s="87" t="s">
        <v>48</v>
      </c>
      <c r="Q24" s="43" t="s">
        <v>48</v>
      </c>
      <c r="R24" s="43" t="s">
        <v>48</v>
      </c>
      <c r="S24" s="85"/>
      <c r="T24" s="43"/>
      <c r="U24" s="43"/>
      <c r="V24" s="43"/>
      <c r="W24" s="105">
        <f t="shared" si="3"/>
        <v>0</v>
      </c>
      <c r="X24" s="101">
        <v>4</v>
      </c>
      <c r="Y24" s="101">
        <v>0</v>
      </c>
      <c r="Z24" s="102" t="e">
        <f t="shared" si="0"/>
        <v>#DIV/0!</v>
      </c>
      <c r="AA24" s="6"/>
      <c r="AB24" s="6"/>
      <c r="AE24" s="195">
        <f t="shared" si="1"/>
        <v>0</v>
      </c>
    </row>
    <row r="25" spans="1:31" x14ac:dyDescent="0.25">
      <c r="A25" s="3">
        <v>20</v>
      </c>
      <c r="B25" s="8" t="s">
        <v>62</v>
      </c>
      <c r="C25" s="45"/>
      <c r="D25" s="43" t="s">
        <v>48</v>
      </c>
      <c r="E25" s="43" t="s">
        <v>48</v>
      </c>
      <c r="F25" s="59" t="s">
        <v>299</v>
      </c>
      <c r="G25" s="43"/>
      <c r="H25" s="43" t="s">
        <v>48</v>
      </c>
      <c r="I25" s="43" t="s">
        <v>48</v>
      </c>
      <c r="J25" s="87"/>
      <c r="K25" s="43"/>
      <c r="L25" s="43"/>
      <c r="M25" s="43"/>
      <c r="N25" s="77" t="s">
        <v>52</v>
      </c>
      <c r="O25" s="43"/>
      <c r="P25" s="77" t="s">
        <v>52</v>
      </c>
      <c r="Q25" s="59" t="s">
        <v>299</v>
      </c>
      <c r="R25" s="43"/>
      <c r="S25" s="85"/>
      <c r="T25" s="43"/>
      <c r="U25" s="43"/>
      <c r="V25" s="43"/>
      <c r="W25" s="105">
        <f t="shared" si="3"/>
        <v>0</v>
      </c>
      <c r="X25" s="101">
        <v>2</v>
      </c>
      <c r="Y25" s="101">
        <v>2</v>
      </c>
      <c r="Z25" s="102">
        <f t="shared" si="0"/>
        <v>-100</v>
      </c>
      <c r="AA25" s="6"/>
      <c r="AB25" s="6"/>
      <c r="AE25" s="195">
        <f t="shared" si="1"/>
        <v>-2</v>
      </c>
    </row>
    <row r="26" spans="1:31" x14ac:dyDescent="0.25">
      <c r="A26" s="3">
        <v>21</v>
      </c>
      <c r="B26" s="8" t="s">
        <v>60</v>
      </c>
      <c r="C26" s="45"/>
      <c r="D26" s="77" t="s">
        <v>52</v>
      </c>
      <c r="E26" s="43"/>
      <c r="F26" s="43"/>
      <c r="G26" s="43"/>
      <c r="H26" s="43"/>
      <c r="I26" s="43"/>
      <c r="J26" s="87"/>
      <c r="K26" s="59" t="s">
        <v>299</v>
      </c>
      <c r="L26" s="43" t="s">
        <v>48</v>
      </c>
      <c r="M26" s="59" t="s">
        <v>299</v>
      </c>
      <c r="N26" s="43" t="s">
        <v>48</v>
      </c>
      <c r="O26" s="43" t="s">
        <v>48</v>
      </c>
      <c r="P26" s="87" t="s">
        <v>48</v>
      </c>
      <c r="Q26" s="43"/>
      <c r="R26" s="43"/>
      <c r="S26" s="85"/>
      <c r="T26" s="43"/>
      <c r="U26" s="43"/>
      <c r="V26" s="43"/>
      <c r="W26" s="105">
        <f t="shared" si="3"/>
        <v>0</v>
      </c>
      <c r="X26" s="101" t="s">
        <v>215</v>
      </c>
      <c r="Y26" s="101">
        <v>1</v>
      </c>
      <c r="Z26" s="102">
        <f t="shared" si="0"/>
        <v>-200</v>
      </c>
      <c r="AA26" s="6"/>
      <c r="AB26" s="6"/>
      <c r="AE26" s="195">
        <f t="shared" si="1"/>
        <v>-1</v>
      </c>
    </row>
    <row r="27" spans="1:31" x14ac:dyDescent="0.25">
      <c r="A27" s="3">
        <v>22</v>
      </c>
      <c r="B27" s="8" t="s">
        <v>82</v>
      </c>
      <c r="C27" s="45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59" t="s">
        <v>299</v>
      </c>
      <c r="O27" s="59" t="s">
        <v>299</v>
      </c>
      <c r="P27" s="87"/>
      <c r="Q27" s="59" t="s">
        <v>299</v>
      </c>
      <c r="R27" s="43"/>
      <c r="S27" s="85"/>
      <c r="T27" s="43"/>
      <c r="U27" s="43"/>
      <c r="V27" s="43"/>
      <c r="W27" s="105">
        <f t="shared" si="3"/>
        <v>0</v>
      </c>
      <c r="X27" s="101">
        <v>3</v>
      </c>
      <c r="Y27" s="101">
        <v>0</v>
      </c>
      <c r="Z27" s="102" t="e">
        <f t="shared" si="0"/>
        <v>#DIV/0!</v>
      </c>
      <c r="AA27" s="6"/>
      <c r="AB27" s="6"/>
      <c r="AE27" s="195">
        <f t="shared" si="1"/>
        <v>0</v>
      </c>
    </row>
    <row r="28" spans="1:31" x14ac:dyDescent="0.25">
      <c r="A28" s="3">
        <v>23</v>
      </c>
      <c r="B28" s="8" t="s">
        <v>57</v>
      </c>
      <c r="C28" s="45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59" t="s">
        <v>299</v>
      </c>
      <c r="O28" s="43"/>
      <c r="P28" s="87"/>
      <c r="Q28" s="77" t="s">
        <v>52</v>
      </c>
      <c r="R28" s="43"/>
      <c r="S28" s="85"/>
      <c r="T28" s="43" t="s">
        <v>48</v>
      </c>
      <c r="U28" s="43"/>
      <c r="V28" s="43"/>
      <c r="W28" s="105">
        <f t="shared" si="3"/>
        <v>0</v>
      </c>
      <c r="X28" s="101" t="s">
        <v>217</v>
      </c>
      <c r="Y28" s="101">
        <v>1</v>
      </c>
      <c r="Z28" s="102">
        <f t="shared" si="0"/>
        <v>-100</v>
      </c>
      <c r="AA28" s="6"/>
      <c r="AB28" s="6"/>
      <c r="AE28" s="195">
        <f t="shared" si="1"/>
        <v>-1</v>
      </c>
    </row>
    <row r="29" spans="1:31" x14ac:dyDescent="0.25">
      <c r="A29" s="3">
        <v>24</v>
      </c>
      <c r="B29" s="8" t="s">
        <v>68</v>
      </c>
      <c r="C29" s="45"/>
      <c r="D29" s="61" t="s">
        <v>52</v>
      </c>
      <c r="E29" s="43"/>
      <c r="F29" s="43"/>
      <c r="G29" s="43"/>
      <c r="H29" s="43"/>
      <c r="I29" s="43"/>
      <c r="J29" s="87"/>
      <c r="K29" s="43"/>
      <c r="L29" s="43"/>
      <c r="M29" s="43"/>
      <c r="N29" s="43"/>
      <c r="O29" s="43"/>
      <c r="P29" s="59" t="s">
        <v>299</v>
      </c>
      <c r="Q29" s="43"/>
      <c r="R29" s="43"/>
      <c r="S29" s="85"/>
      <c r="T29" s="43"/>
      <c r="U29" s="43"/>
      <c r="V29" s="43"/>
      <c r="W29" s="105">
        <f t="shared" si="3"/>
        <v>0</v>
      </c>
      <c r="X29" s="101" t="s">
        <v>217</v>
      </c>
      <c r="Y29" s="101">
        <v>1</v>
      </c>
      <c r="Z29" s="102">
        <f t="shared" si="0"/>
        <v>-100</v>
      </c>
      <c r="AA29" s="6"/>
      <c r="AB29" s="6"/>
      <c r="AE29" s="195">
        <f t="shared" si="1"/>
        <v>-1</v>
      </c>
    </row>
    <row r="30" spans="1:31" x14ac:dyDescent="0.25">
      <c r="A30" s="3">
        <v>25</v>
      </c>
      <c r="B30" s="8" t="s">
        <v>53</v>
      </c>
      <c r="C30" s="45"/>
      <c r="D30" s="43"/>
      <c r="E30" s="43" t="s">
        <v>48</v>
      </c>
      <c r="F30" s="43"/>
      <c r="G30" s="43" t="s">
        <v>48</v>
      </c>
      <c r="H30" s="43"/>
      <c r="I30" s="43"/>
      <c r="J30" s="87"/>
      <c r="K30" s="43"/>
      <c r="L30" s="43"/>
      <c r="M30" s="43"/>
      <c r="N30" s="43"/>
      <c r="O30" s="43"/>
      <c r="P30" s="87"/>
      <c r="Q30" s="43"/>
      <c r="R30" s="43"/>
      <c r="S30" s="85"/>
      <c r="T30" s="43"/>
      <c r="U30" s="43"/>
      <c r="V30" s="43"/>
      <c r="W30" s="105">
        <f t="shared" ref="W30:W31" si="4">SUM(C30:U30)</f>
        <v>0</v>
      </c>
      <c r="X30" s="101" t="s">
        <v>216</v>
      </c>
      <c r="Y30" s="101">
        <v>0</v>
      </c>
      <c r="Z30" s="102" t="e">
        <f t="shared" ref="Z30:Z31" si="5">(X30/(W30-Y30))*100</f>
        <v>#DIV/0!</v>
      </c>
      <c r="AA30" s="6"/>
      <c r="AB30" s="6"/>
      <c r="AE30" s="195">
        <f t="shared" si="1"/>
        <v>0</v>
      </c>
    </row>
    <row r="31" spans="1:31" x14ac:dyDescent="0.25">
      <c r="A31" s="3">
        <v>26</v>
      </c>
      <c r="B31" s="8" t="s">
        <v>130</v>
      </c>
      <c r="C31" s="45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 t="s">
        <v>48</v>
      </c>
      <c r="S31" s="85"/>
      <c r="T31" s="43" t="s">
        <v>48</v>
      </c>
      <c r="U31" s="43"/>
      <c r="V31" s="43"/>
      <c r="W31" s="105">
        <f t="shared" si="4"/>
        <v>0</v>
      </c>
      <c r="X31" s="101">
        <v>0</v>
      </c>
      <c r="Y31" s="101">
        <v>0</v>
      </c>
      <c r="Z31" s="102" t="e">
        <f t="shared" si="5"/>
        <v>#DIV/0!</v>
      </c>
      <c r="AA31" s="6"/>
      <c r="AB31" s="6"/>
      <c r="AD31" s="6"/>
      <c r="AE31" s="195">
        <f t="shared" si="1"/>
        <v>0</v>
      </c>
    </row>
    <row r="32" spans="1:31" x14ac:dyDescent="0.25">
      <c r="A32" s="3"/>
      <c r="B32" s="7"/>
      <c r="C32" s="55">
        <f t="shared" ref="C32:S32" si="6">SUM(C6:C31)</f>
        <v>0</v>
      </c>
      <c r="D32" s="56">
        <f t="shared" si="6"/>
        <v>0</v>
      </c>
      <c r="E32" s="56">
        <f t="shared" si="6"/>
        <v>0</v>
      </c>
      <c r="F32" s="56">
        <f t="shared" si="6"/>
        <v>0</v>
      </c>
      <c r="G32" s="56">
        <f t="shared" si="6"/>
        <v>0</v>
      </c>
      <c r="H32" s="56">
        <f t="shared" si="6"/>
        <v>0</v>
      </c>
      <c r="I32" s="56">
        <f t="shared" si="6"/>
        <v>0</v>
      </c>
      <c r="J32" s="56">
        <f>SUM(J6:J31)</f>
        <v>0</v>
      </c>
      <c r="K32" s="56">
        <f t="shared" si="6"/>
        <v>0</v>
      </c>
      <c r="L32" s="56">
        <f t="shared" si="6"/>
        <v>0</v>
      </c>
      <c r="M32" s="56">
        <f t="shared" si="6"/>
        <v>0</v>
      </c>
      <c r="N32" s="56">
        <f t="shared" si="6"/>
        <v>0</v>
      </c>
      <c r="O32" s="56">
        <f t="shared" si="6"/>
        <v>0</v>
      </c>
      <c r="P32" s="56">
        <f t="shared" si="6"/>
        <v>0</v>
      </c>
      <c r="Q32" s="56">
        <f t="shared" si="6"/>
        <v>0</v>
      </c>
      <c r="R32" s="56">
        <f t="shared" si="6"/>
        <v>0</v>
      </c>
      <c r="S32" s="56">
        <f t="shared" si="6"/>
        <v>0</v>
      </c>
      <c r="T32" s="103">
        <f>SUM(T6:T31)</f>
        <v>0</v>
      </c>
      <c r="U32" s="103">
        <f>SUM(U6:U31)</f>
        <v>0</v>
      </c>
      <c r="V32" s="103">
        <f>SUM(V6:V31)</f>
        <v>0</v>
      </c>
      <c r="W32" s="104">
        <f t="shared" ref="W32" si="7">SUM(C32:U32)</f>
        <v>0</v>
      </c>
      <c r="X32" s="142" t="s">
        <v>192</v>
      </c>
      <c r="Y32" s="90"/>
      <c r="Z32" s="90"/>
      <c r="AA32" s="6"/>
      <c r="AB32" s="6"/>
    </row>
    <row r="33" spans="1:31" x14ac:dyDescent="0.25">
      <c r="A33" s="7"/>
      <c r="B33" s="7"/>
      <c r="C33" s="7"/>
      <c r="D33" s="7"/>
      <c r="E33" s="7"/>
      <c r="F33" s="7"/>
      <c r="G33" s="7"/>
      <c r="H33" s="19"/>
      <c r="I33" s="7"/>
      <c r="J33" s="7"/>
      <c r="K33" s="7"/>
      <c r="L33" s="7"/>
      <c r="M33" s="7"/>
      <c r="N33" s="7"/>
      <c r="O33" s="7"/>
      <c r="P33" s="7"/>
      <c r="Q33" s="7"/>
      <c r="R33" s="7"/>
      <c r="S33" s="6"/>
      <c r="T33" s="6"/>
      <c r="U33" s="6"/>
      <c r="V33" s="6"/>
      <c r="W33" s="57">
        <f>SUM(C32:U32)</f>
        <v>0</v>
      </c>
      <c r="X33" s="143"/>
      <c r="Y33" s="91"/>
      <c r="Z33" s="91"/>
      <c r="AA33" s="6"/>
      <c r="AB33" s="6"/>
      <c r="AD33" s="65" t="s">
        <v>84</v>
      </c>
      <c r="AE33" s="195">
        <f>SUM(AE6:AE31)</f>
        <v>-21</v>
      </c>
    </row>
    <row r="34" spans="1:31" x14ac:dyDescent="0.25">
      <c r="A34" s="7"/>
      <c r="B34" s="7"/>
      <c r="C34" s="7"/>
      <c r="D34" s="7"/>
      <c r="E34" s="7"/>
      <c r="F34" s="7"/>
      <c r="G34" s="7"/>
      <c r="H34" s="19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6"/>
      <c r="X34" s="6"/>
      <c r="Y34" s="6"/>
      <c r="Z34" s="6"/>
      <c r="AA34" s="6"/>
      <c r="AB34" s="6"/>
    </row>
    <row r="35" spans="1:31" x14ac:dyDescent="0.25">
      <c r="A35" s="7"/>
      <c r="B35" s="7"/>
      <c r="C35" s="7"/>
      <c r="D35" s="7"/>
      <c r="E35" s="19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6"/>
      <c r="T35" s="6"/>
      <c r="U35" s="6"/>
      <c r="V35" s="6"/>
      <c r="W35" s="6"/>
    </row>
    <row r="36" spans="1:31" x14ac:dyDescent="0.25">
      <c r="A36" s="7"/>
      <c r="C36" s="7"/>
      <c r="D36" s="7"/>
      <c r="E36" s="19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6"/>
      <c r="T36" s="6"/>
      <c r="U36" s="6"/>
      <c r="V36" s="6"/>
      <c r="W36" s="6"/>
    </row>
    <row r="37" spans="1:31" x14ac:dyDescent="0.25">
      <c r="A37" s="7"/>
      <c r="B37" s="19"/>
      <c r="C37" s="7"/>
      <c r="D37" s="7"/>
      <c r="E37" s="19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6"/>
      <c r="T37" s="6"/>
      <c r="U37" s="6"/>
      <c r="V37" s="6"/>
      <c r="W37" s="6"/>
    </row>
    <row r="38" spans="1:31" x14ac:dyDescent="0.25">
      <c r="A38" s="7"/>
      <c r="B38" s="21" t="s">
        <v>87</v>
      </c>
      <c r="C38" s="20">
        <v>6</v>
      </c>
      <c r="D38" s="7"/>
      <c r="E38" s="19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6"/>
      <c r="T38" s="6"/>
      <c r="U38" s="6"/>
      <c r="V38" s="6"/>
      <c r="W38" s="6"/>
    </row>
    <row r="39" spans="1:31" x14ac:dyDescent="0.25">
      <c r="A39" s="7"/>
      <c r="B39" s="22" t="s">
        <v>88</v>
      </c>
      <c r="C39" s="20">
        <v>7</v>
      </c>
      <c r="D39" s="7"/>
      <c r="E39" s="19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6"/>
      <c r="T39" s="6"/>
      <c r="U39" s="6"/>
      <c r="V39" s="6"/>
      <c r="W39" s="6"/>
    </row>
    <row r="40" spans="1:31" x14ac:dyDescent="0.25">
      <c r="A40" s="7"/>
      <c r="B40" s="15" t="s">
        <v>90</v>
      </c>
      <c r="C40" s="23">
        <v>6</v>
      </c>
      <c r="D40" s="7"/>
      <c r="E40" s="19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6"/>
      <c r="T40" s="6"/>
      <c r="U40" s="6"/>
      <c r="V40" s="6"/>
      <c r="W40" s="6"/>
    </row>
    <row r="41" spans="1:31" x14ac:dyDescent="0.25">
      <c r="A41" s="7"/>
      <c r="B41" s="7"/>
      <c r="C41" s="24">
        <f>SUM(C38:C40)</f>
        <v>19</v>
      </c>
      <c r="D41" s="7"/>
      <c r="E41" s="19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6"/>
      <c r="T41" s="6"/>
      <c r="U41" s="6"/>
      <c r="V41" s="6"/>
      <c r="W41" s="6"/>
    </row>
    <row r="42" spans="1:31" x14ac:dyDescent="0.25">
      <c r="A42" s="7"/>
      <c r="B42" s="7"/>
      <c r="C42" s="7"/>
      <c r="D42" s="7"/>
      <c r="E42" s="19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6"/>
      <c r="T42" s="6"/>
      <c r="U42" s="6"/>
      <c r="V42" s="6"/>
      <c r="W42" s="6"/>
    </row>
    <row r="43" spans="1:31" x14ac:dyDescent="0.25">
      <c r="A43" s="7"/>
      <c r="B43" s="7"/>
      <c r="C43" s="7"/>
      <c r="D43" s="7"/>
      <c r="E43" s="19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6"/>
      <c r="T43" s="6"/>
      <c r="U43" s="6"/>
      <c r="V43" s="6"/>
      <c r="W43" s="6"/>
    </row>
    <row r="44" spans="1:31" x14ac:dyDescent="0.25">
      <c r="E44" s="2"/>
      <c r="H44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78B0-8015-4C10-880F-3DDAB7B1CC27}">
  <dimension ref="A1:BC40"/>
  <sheetViews>
    <sheetView zoomScale="85" zoomScaleNormal="85" workbookViewId="0">
      <selection activeCell="C6" sqref="C6:V28"/>
    </sheetView>
  </sheetViews>
  <sheetFormatPr defaultRowHeight="13.2" x14ac:dyDescent="0.25"/>
  <cols>
    <col min="2" max="2" width="24.109375" customWidth="1"/>
  </cols>
  <sheetData>
    <row r="1" spans="1:55" x14ac:dyDescent="0.25">
      <c r="C1" t="s">
        <v>296</v>
      </c>
      <c r="D1" t="s">
        <v>296</v>
      </c>
      <c r="E1" t="s">
        <v>296</v>
      </c>
      <c r="F1" t="s">
        <v>296</v>
      </c>
      <c r="G1" t="s">
        <v>296</v>
      </c>
      <c r="H1" t="s">
        <v>50</v>
      </c>
      <c r="I1" t="s">
        <v>296</v>
      </c>
      <c r="J1" t="s">
        <v>50</v>
      </c>
      <c r="K1" t="s">
        <v>50</v>
      </c>
      <c r="L1" t="s">
        <v>298</v>
      </c>
      <c r="M1" t="s">
        <v>296</v>
      </c>
      <c r="N1" t="s">
        <v>50</v>
      </c>
      <c r="O1" t="s">
        <v>50</v>
      </c>
      <c r="P1" t="s">
        <v>50</v>
      </c>
      <c r="Q1" t="s">
        <v>50</v>
      </c>
      <c r="R1" t="s">
        <v>298</v>
      </c>
      <c r="S1" t="s">
        <v>297</v>
      </c>
      <c r="T1" t="s">
        <v>297</v>
      </c>
      <c r="U1" t="s">
        <v>296</v>
      </c>
      <c r="V1" t="s">
        <v>296</v>
      </c>
    </row>
    <row r="2" spans="1:55" x14ac:dyDescent="0.25">
      <c r="C2" t="s">
        <v>295</v>
      </c>
      <c r="D2" t="s">
        <v>52</v>
      </c>
      <c r="E2" t="s">
        <v>295</v>
      </c>
      <c r="F2" t="s">
        <v>52</v>
      </c>
      <c r="G2" t="s">
        <v>295</v>
      </c>
      <c r="H2" t="s">
        <v>52</v>
      </c>
      <c r="I2" t="s">
        <v>295</v>
      </c>
      <c r="J2" t="s">
        <v>52</v>
      </c>
      <c r="K2" t="s">
        <v>295</v>
      </c>
      <c r="L2" t="s">
        <v>52</v>
      </c>
      <c r="M2" t="s">
        <v>52</v>
      </c>
      <c r="N2" t="s">
        <v>52</v>
      </c>
      <c r="O2" t="s">
        <v>295</v>
      </c>
      <c r="P2" t="s">
        <v>52</v>
      </c>
      <c r="Q2" t="s">
        <v>295</v>
      </c>
      <c r="R2" t="s">
        <v>52</v>
      </c>
      <c r="S2" t="s">
        <v>295</v>
      </c>
      <c r="T2" t="s">
        <v>295</v>
      </c>
      <c r="U2" t="s">
        <v>52</v>
      </c>
      <c r="V2" t="s">
        <v>295</v>
      </c>
    </row>
    <row r="3" spans="1:55" ht="51" customHeight="1" x14ac:dyDescent="0.25">
      <c r="A3" s="3"/>
      <c r="B3" s="4"/>
      <c r="C3" s="58" t="s">
        <v>7</v>
      </c>
      <c r="D3" s="58" t="s">
        <v>218</v>
      </c>
      <c r="E3" s="58" t="s">
        <v>7</v>
      </c>
      <c r="F3" s="58" t="s">
        <v>3</v>
      </c>
      <c r="G3" s="58" t="s">
        <v>219</v>
      </c>
      <c r="H3" s="62" t="s">
        <v>0</v>
      </c>
      <c r="I3" s="58" t="s">
        <v>9</v>
      </c>
      <c r="J3" s="62" t="s">
        <v>220</v>
      </c>
      <c r="K3" s="62" t="s">
        <v>10</v>
      </c>
      <c r="L3" s="63" t="s">
        <v>11</v>
      </c>
      <c r="M3" s="58" t="s">
        <v>221</v>
      </c>
      <c r="N3" s="62" t="s">
        <v>198</v>
      </c>
      <c r="O3" s="62" t="s">
        <v>10</v>
      </c>
      <c r="P3" s="62" t="s">
        <v>6</v>
      </c>
      <c r="Q3" s="62" t="s">
        <v>155</v>
      </c>
      <c r="R3" s="63" t="s">
        <v>11</v>
      </c>
      <c r="S3" s="73" t="s">
        <v>13</v>
      </c>
      <c r="T3" s="73" t="s">
        <v>1</v>
      </c>
      <c r="U3" s="58" t="s">
        <v>3</v>
      </c>
      <c r="V3" s="58" t="s">
        <v>159</v>
      </c>
      <c r="W3" s="5"/>
      <c r="X3" s="6"/>
      <c r="Y3" s="6"/>
      <c r="Z3" s="6"/>
      <c r="AA3" s="6"/>
      <c r="AB3" s="6"/>
      <c r="AC3" s="6"/>
      <c r="AD3" s="6"/>
      <c r="AE3" s="6"/>
    </row>
    <row r="4" spans="1:55" ht="102.6" x14ac:dyDescent="0.25">
      <c r="A4" s="3"/>
      <c r="B4" s="7"/>
      <c r="C4" s="79" t="s">
        <v>222</v>
      </c>
      <c r="D4" s="80" t="s">
        <v>201</v>
      </c>
      <c r="E4" s="79" t="s">
        <v>200</v>
      </c>
      <c r="F4" s="80" t="s">
        <v>223</v>
      </c>
      <c r="G4" s="79" t="s">
        <v>224</v>
      </c>
      <c r="H4" s="80" t="s">
        <v>225</v>
      </c>
      <c r="I4" s="79" t="s">
        <v>226</v>
      </c>
      <c r="J4" s="80" t="s">
        <v>160</v>
      </c>
      <c r="K4" s="79" t="s">
        <v>207</v>
      </c>
      <c r="L4" s="80" t="s">
        <v>226</v>
      </c>
      <c r="M4" s="80" t="s">
        <v>227</v>
      </c>
      <c r="N4" s="80" t="s">
        <v>222</v>
      </c>
      <c r="O4" s="79" t="s">
        <v>201</v>
      </c>
      <c r="P4" s="80" t="s">
        <v>200</v>
      </c>
      <c r="Q4" s="79" t="s">
        <v>223</v>
      </c>
      <c r="R4" s="80" t="s">
        <v>224</v>
      </c>
      <c r="S4" s="79" t="s">
        <v>225</v>
      </c>
      <c r="T4" s="79" t="s">
        <v>160</v>
      </c>
      <c r="U4" s="80" t="s">
        <v>207</v>
      </c>
      <c r="V4" s="79" t="s">
        <v>227</v>
      </c>
      <c r="X4" s="100" t="s">
        <v>29</v>
      </c>
      <c r="Y4" s="100" t="s">
        <v>30</v>
      </c>
      <c r="Z4" s="100" t="s">
        <v>31</v>
      </c>
      <c r="AA4" s="100" t="s">
        <v>32</v>
      </c>
      <c r="AB4" s="100" t="s">
        <v>33</v>
      </c>
      <c r="AF4" s="100" t="s">
        <v>34</v>
      </c>
      <c r="AI4" s="79" t="s">
        <v>222</v>
      </c>
      <c r="AJ4" s="80" t="s">
        <v>201</v>
      </c>
      <c r="AK4" s="79" t="s">
        <v>200</v>
      </c>
      <c r="AL4" s="80" t="s">
        <v>223</v>
      </c>
      <c r="AM4" s="79" t="s">
        <v>224</v>
      </c>
      <c r="AN4" s="80" t="s">
        <v>225</v>
      </c>
      <c r="AO4" s="79" t="s">
        <v>226</v>
      </c>
      <c r="AP4" s="80" t="s">
        <v>160</v>
      </c>
      <c r="AQ4" s="79" t="s">
        <v>207</v>
      </c>
      <c r="AR4" s="80" t="s">
        <v>226</v>
      </c>
      <c r="AS4" s="80" t="s">
        <v>227</v>
      </c>
      <c r="AT4" s="80" t="s">
        <v>222</v>
      </c>
      <c r="AU4" s="79" t="s">
        <v>201</v>
      </c>
      <c r="AV4" s="80" t="s">
        <v>200</v>
      </c>
      <c r="AW4" s="79" t="s">
        <v>223</v>
      </c>
      <c r="AX4" s="80" t="s">
        <v>224</v>
      </c>
      <c r="AY4" s="79" t="s">
        <v>225</v>
      </c>
      <c r="AZ4" s="79" t="s">
        <v>160</v>
      </c>
      <c r="BA4" s="80" t="s">
        <v>207</v>
      </c>
      <c r="BB4" s="79" t="s">
        <v>160</v>
      </c>
    </row>
    <row r="5" spans="1:55" ht="43.8" x14ac:dyDescent="0.25">
      <c r="A5" s="3"/>
      <c r="B5" s="46" t="s">
        <v>39</v>
      </c>
      <c r="C5" s="75">
        <v>43708</v>
      </c>
      <c r="D5" s="76">
        <v>43715</v>
      </c>
      <c r="E5" s="76">
        <v>43722</v>
      </c>
      <c r="F5" s="75">
        <v>43729</v>
      </c>
      <c r="G5" s="76">
        <v>43736</v>
      </c>
      <c r="H5" s="76">
        <v>43743</v>
      </c>
      <c r="I5" s="75">
        <v>43750</v>
      </c>
      <c r="J5" s="76">
        <v>43757</v>
      </c>
      <c r="K5" s="76">
        <v>43764</v>
      </c>
      <c r="L5" s="76">
        <v>43778</v>
      </c>
      <c r="M5" s="76">
        <v>43785</v>
      </c>
      <c r="N5" s="76">
        <v>43799</v>
      </c>
      <c r="O5" s="76">
        <v>43806</v>
      </c>
      <c r="P5" s="76">
        <v>43813</v>
      </c>
      <c r="Q5" s="76">
        <v>43476</v>
      </c>
      <c r="R5" s="76">
        <v>43483</v>
      </c>
      <c r="S5" s="76">
        <v>43490</v>
      </c>
      <c r="T5" s="76">
        <v>43504</v>
      </c>
      <c r="U5" s="76">
        <v>43511</v>
      </c>
      <c r="V5" s="76">
        <v>43531</v>
      </c>
      <c r="W5" s="5"/>
      <c r="X5" s="6"/>
      <c r="Y5" s="6"/>
      <c r="Z5" s="6"/>
      <c r="AA5" s="6"/>
      <c r="AB5" s="6"/>
      <c r="AC5" s="6"/>
      <c r="AD5" s="6"/>
      <c r="AI5" s="6"/>
    </row>
    <row r="6" spans="1:55" x14ac:dyDescent="0.25">
      <c r="A6" s="3">
        <v>1</v>
      </c>
      <c r="B6" s="8" t="s">
        <v>64</v>
      </c>
      <c r="C6" s="45" t="s">
        <v>48</v>
      </c>
      <c r="D6" s="43" t="s">
        <v>48</v>
      </c>
      <c r="E6" s="43" t="s">
        <v>48</v>
      </c>
      <c r="F6" s="9" t="s">
        <v>48</v>
      </c>
      <c r="G6" s="9" t="s">
        <v>299</v>
      </c>
      <c r="H6" s="43" t="s">
        <v>48</v>
      </c>
      <c r="I6" s="43" t="s">
        <v>299</v>
      </c>
      <c r="J6" s="43" t="s">
        <v>299</v>
      </c>
      <c r="K6" s="43" t="s">
        <v>48</v>
      </c>
      <c r="L6" s="43"/>
      <c r="M6" s="43" t="s">
        <v>48</v>
      </c>
      <c r="N6" s="43" t="s">
        <v>48</v>
      </c>
      <c r="O6" s="43" t="s">
        <v>299</v>
      </c>
      <c r="P6" s="43" t="s">
        <v>299</v>
      </c>
      <c r="Q6" s="43" t="s">
        <v>48</v>
      </c>
      <c r="R6" s="9"/>
      <c r="S6" s="85" t="s">
        <v>48</v>
      </c>
      <c r="T6" s="43" t="s">
        <v>48</v>
      </c>
      <c r="U6" s="43" t="s">
        <v>48</v>
      </c>
      <c r="V6" s="43" t="s">
        <v>48</v>
      </c>
      <c r="W6" s="105">
        <f t="shared" ref="W6:W29" si="0">SUM(COUNTIF(C6:V6,"h"),COUNTIF(C6:V6,"w"),COUNTIF(C6:V6,"k"),COUNTIF(C6:V6,"t"))</f>
        <v>13</v>
      </c>
      <c r="X6" s="101">
        <f t="shared" ref="X6:X29" si="1">COUNTIF(C6:V6,"w")</f>
        <v>0</v>
      </c>
      <c r="Y6" s="101">
        <f t="shared" ref="Y6:Y29" si="2">COUNTIF(C6:V6,"k")</f>
        <v>0</v>
      </c>
      <c r="Z6" s="101">
        <f t="shared" ref="Z6:Z32" si="3">BC6</f>
        <v>-10</v>
      </c>
      <c r="AA6" s="101">
        <f t="shared" ref="AA6:AA29" si="4">COUNTIF(C6:V6,"t")</f>
        <v>0</v>
      </c>
      <c r="AB6" s="102">
        <f t="shared" ref="AB6:AB29" si="5">(X6/(W6+Z6-AA6-Y6))*100</f>
        <v>0</v>
      </c>
      <c r="AC6" s="93" t="s">
        <v>85</v>
      </c>
      <c r="AF6" s="195">
        <f>W6-AA6</f>
        <v>13</v>
      </c>
      <c r="AI6" s="6">
        <f t="shared" ref="AI6:AX21" si="6">IF(C$32="ja",0,IF(C6="h",-1,IF(C6="k",0,IF(C6="w",-1,0))))</f>
        <v>-1</v>
      </c>
      <c r="AJ6" s="6">
        <f t="shared" si="6"/>
        <v>-1</v>
      </c>
      <c r="AK6" s="6">
        <f t="shared" si="6"/>
        <v>-1</v>
      </c>
      <c r="AL6" s="6">
        <f t="shared" si="6"/>
        <v>-1</v>
      </c>
      <c r="AM6" s="6">
        <f t="shared" si="6"/>
        <v>0</v>
      </c>
      <c r="AN6" s="6">
        <f t="shared" si="6"/>
        <v>-1</v>
      </c>
      <c r="AO6" s="6">
        <f t="shared" si="6"/>
        <v>0</v>
      </c>
      <c r="AP6" s="6">
        <f t="shared" si="6"/>
        <v>0</v>
      </c>
      <c r="AQ6" s="6">
        <f t="shared" si="6"/>
        <v>-1</v>
      </c>
      <c r="AR6" s="6">
        <f t="shared" si="6"/>
        <v>0</v>
      </c>
      <c r="AS6" s="6">
        <f t="shared" si="6"/>
        <v>-1</v>
      </c>
      <c r="AT6" s="6">
        <f t="shared" si="6"/>
        <v>-1</v>
      </c>
      <c r="AU6" s="6">
        <f t="shared" si="6"/>
        <v>0</v>
      </c>
      <c r="AV6" s="6">
        <f t="shared" si="6"/>
        <v>0</v>
      </c>
      <c r="AW6" s="6">
        <f t="shared" si="6"/>
        <v>-1</v>
      </c>
      <c r="AX6" s="6">
        <f t="shared" si="6"/>
        <v>0</v>
      </c>
      <c r="AY6" s="6">
        <f t="shared" ref="AY6:BB29" si="7">IF(S$32="ja",0,IF(S6="h",-1,IF(S6="k",0,IF(S6="w",-1,0))))</f>
        <v>0</v>
      </c>
      <c r="AZ6" s="6">
        <f t="shared" si="7"/>
        <v>0</v>
      </c>
      <c r="BA6" s="6">
        <f t="shared" si="7"/>
        <v>-1</v>
      </c>
      <c r="BB6" s="6">
        <f t="shared" si="7"/>
        <v>0</v>
      </c>
      <c r="BC6" s="6">
        <f t="shared" ref="BC6:BC29" si="8">SUM(AI6:BB6)</f>
        <v>-10</v>
      </c>
    </row>
    <row r="7" spans="1:55" x14ac:dyDescent="0.25">
      <c r="A7" s="3">
        <v>2</v>
      </c>
      <c r="B7" s="8" t="s">
        <v>51</v>
      </c>
      <c r="C7" s="45" t="s">
        <v>48</v>
      </c>
      <c r="D7" s="43" t="s">
        <v>48</v>
      </c>
      <c r="E7" s="43" t="s">
        <v>48</v>
      </c>
      <c r="F7" s="43" t="s">
        <v>48</v>
      </c>
      <c r="G7" s="43" t="s">
        <v>299</v>
      </c>
      <c r="H7" s="43" t="s">
        <v>48</v>
      </c>
      <c r="I7" s="43" t="s">
        <v>48</v>
      </c>
      <c r="J7" s="43" t="s">
        <v>48</v>
      </c>
      <c r="K7" s="43" t="s">
        <v>48</v>
      </c>
      <c r="L7" s="43"/>
      <c r="M7" s="43" t="s">
        <v>299</v>
      </c>
      <c r="N7" s="43" t="s">
        <v>299</v>
      </c>
      <c r="O7" s="43" t="s">
        <v>48</v>
      </c>
      <c r="P7" s="43" t="s">
        <v>48</v>
      </c>
      <c r="Q7" s="43"/>
      <c r="R7" s="43"/>
      <c r="S7" s="86" t="s">
        <v>48</v>
      </c>
      <c r="T7" s="43" t="s">
        <v>48</v>
      </c>
      <c r="U7" s="43" t="s">
        <v>299</v>
      </c>
      <c r="V7" s="43" t="s">
        <v>48</v>
      </c>
      <c r="W7" s="105">
        <f t="shared" si="0"/>
        <v>13</v>
      </c>
      <c r="X7" s="101">
        <f t="shared" si="1"/>
        <v>0</v>
      </c>
      <c r="Y7" s="101">
        <f t="shared" si="2"/>
        <v>0</v>
      </c>
      <c r="Z7" s="101">
        <f t="shared" si="3"/>
        <v>-10</v>
      </c>
      <c r="AA7" s="101">
        <f t="shared" si="4"/>
        <v>0</v>
      </c>
      <c r="AB7" s="102">
        <f t="shared" si="5"/>
        <v>0</v>
      </c>
      <c r="AC7" s="94" t="s">
        <v>86</v>
      </c>
      <c r="AF7" s="195">
        <f>W7-AA7</f>
        <v>13</v>
      </c>
      <c r="AI7" s="6">
        <f t="shared" si="6"/>
        <v>-1</v>
      </c>
      <c r="AJ7" s="6">
        <f t="shared" si="6"/>
        <v>-1</v>
      </c>
      <c r="AK7" s="6">
        <f t="shared" si="6"/>
        <v>-1</v>
      </c>
      <c r="AL7" s="6">
        <f t="shared" si="6"/>
        <v>-1</v>
      </c>
      <c r="AM7" s="6">
        <f t="shared" si="6"/>
        <v>0</v>
      </c>
      <c r="AN7" s="6">
        <f t="shared" si="6"/>
        <v>-1</v>
      </c>
      <c r="AO7" s="6">
        <f t="shared" si="6"/>
        <v>-1</v>
      </c>
      <c r="AP7" s="6">
        <f t="shared" si="6"/>
        <v>-1</v>
      </c>
      <c r="AQ7" s="6">
        <f t="shared" si="6"/>
        <v>-1</v>
      </c>
      <c r="AR7" s="6">
        <f t="shared" si="6"/>
        <v>0</v>
      </c>
      <c r="AS7" s="6">
        <f t="shared" si="6"/>
        <v>0</v>
      </c>
      <c r="AT7" s="6">
        <f t="shared" si="6"/>
        <v>0</v>
      </c>
      <c r="AU7" s="6">
        <f t="shared" si="6"/>
        <v>-1</v>
      </c>
      <c r="AV7" s="6">
        <f t="shared" si="6"/>
        <v>-1</v>
      </c>
      <c r="AW7" s="6">
        <f t="shared" si="6"/>
        <v>0</v>
      </c>
      <c r="AX7" s="6">
        <f t="shared" si="6"/>
        <v>0</v>
      </c>
      <c r="AY7" s="6">
        <f t="shared" si="7"/>
        <v>0</v>
      </c>
      <c r="AZ7" s="6">
        <f t="shared" si="7"/>
        <v>0</v>
      </c>
      <c r="BA7" s="6">
        <f t="shared" si="7"/>
        <v>0</v>
      </c>
      <c r="BB7" s="6">
        <f t="shared" si="7"/>
        <v>0</v>
      </c>
      <c r="BC7" s="6">
        <f t="shared" si="8"/>
        <v>-10</v>
      </c>
    </row>
    <row r="8" spans="1:55" x14ac:dyDescent="0.25">
      <c r="A8" s="3">
        <v>3</v>
      </c>
      <c r="B8" s="8" t="s">
        <v>68</v>
      </c>
      <c r="C8" s="9"/>
      <c r="D8" s="43" t="s">
        <v>48</v>
      </c>
      <c r="E8" s="9" t="s">
        <v>48</v>
      </c>
      <c r="F8" s="43" t="s">
        <v>52</v>
      </c>
      <c r="G8" s="43" t="s">
        <v>52</v>
      </c>
      <c r="H8" s="43" t="s">
        <v>299</v>
      </c>
      <c r="I8" s="43" t="s">
        <v>48</v>
      </c>
      <c r="J8" s="43" t="s">
        <v>48</v>
      </c>
      <c r="K8" s="43" t="s">
        <v>48</v>
      </c>
      <c r="L8" s="43"/>
      <c r="M8" s="43" t="s">
        <v>299</v>
      </c>
      <c r="N8" s="43" t="s">
        <v>52</v>
      </c>
      <c r="O8" s="43" t="s">
        <v>299</v>
      </c>
      <c r="P8" s="43" t="s">
        <v>48</v>
      </c>
      <c r="Q8" s="43" t="s">
        <v>48</v>
      </c>
      <c r="R8" s="43"/>
      <c r="S8" s="85" t="s">
        <v>48</v>
      </c>
      <c r="T8" s="43" t="s">
        <v>48</v>
      </c>
      <c r="U8" s="43" t="s">
        <v>48</v>
      </c>
      <c r="V8" s="43" t="s">
        <v>52</v>
      </c>
      <c r="W8" s="105">
        <f t="shared" si="0"/>
        <v>14</v>
      </c>
      <c r="X8" s="101">
        <f t="shared" si="1"/>
        <v>0</v>
      </c>
      <c r="Y8" s="101">
        <f t="shared" si="2"/>
        <v>0</v>
      </c>
      <c r="Z8" s="101">
        <f t="shared" si="3"/>
        <v>-8</v>
      </c>
      <c r="AA8" s="101">
        <f t="shared" si="4"/>
        <v>4</v>
      </c>
      <c r="AB8" s="102">
        <f t="shared" si="5"/>
        <v>0</v>
      </c>
      <c r="AD8" s="6"/>
      <c r="AF8" s="195">
        <f t="shared" ref="AF8:AF27" si="9">W8-AA8</f>
        <v>10</v>
      </c>
      <c r="AI8" s="6">
        <f t="shared" si="6"/>
        <v>0</v>
      </c>
      <c r="AJ8" s="6">
        <f t="shared" si="6"/>
        <v>-1</v>
      </c>
      <c r="AK8" s="6">
        <f t="shared" si="6"/>
        <v>-1</v>
      </c>
      <c r="AL8" s="6">
        <f t="shared" si="6"/>
        <v>0</v>
      </c>
      <c r="AM8" s="6">
        <f t="shared" si="6"/>
        <v>0</v>
      </c>
      <c r="AN8" s="6">
        <f t="shared" si="6"/>
        <v>0</v>
      </c>
      <c r="AO8" s="6">
        <f t="shared" si="6"/>
        <v>-1</v>
      </c>
      <c r="AP8" s="6">
        <f t="shared" si="6"/>
        <v>-1</v>
      </c>
      <c r="AQ8" s="6">
        <f t="shared" si="6"/>
        <v>-1</v>
      </c>
      <c r="AR8" s="6">
        <f t="shared" si="6"/>
        <v>0</v>
      </c>
      <c r="AS8" s="6">
        <f t="shared" si="6"/>
        <v>0</v>
      </c>
      <c r="AT8" s="6">
        <f t="shared" si="6"/>
        <v>0</v>
      </c>
      <c r="AU8" s="6">
        <f t="shared" si="6"/>
        <v>0</v>
      </c>
      <c r="AV8" s="6">
        <f t="shared" si="6"/>
        <v>-1</v>
      </c>
      <c r="AW8" s="6">
        <f t="shared" si="6"/>
        <v>-1</v>
      </c>
      <c r="AX8" s="6">
        <f t="shared" si="6"/>
        <v>0</v>
      </c>
      <c r="AY8" s="6">
        <f t="shared" si="7"/>
        <v>0</v>
      </c>
      <c r="AZ8" s="6">
        <f t="shared" si="7"/>
        <v>0</v>
      </c>
      <c r="BA8" s="6">
        <f t="shared" si="7"/>
        <v>-1</v>
      </c>
      <c r="BB8" s="6">
        <f t="shared" si="7"/>
        <v>0</v>
      </c>
      <c r="BC8" s="6">
        <f t="shared" si="8"/>
        <v>-8</v>
      </c>
    </row>
    <row r="9" spans="1:55" x14ac:dyDescent="0.25">
      <c r="A9" s="3">
        <v>4</v>
      </c>
      <c r="B9" s="8" t="s">
        <v>49</v>
      </c>
      <c r="C9" s="45" t="s">
        <v>299</v>
      </c>
      <c r="D9" s="43" t="s">
        <v>48</v>
      </c>
      <c r="E9" s="43" t="s">
        <v>48</v>
      </c>
      <c r="F9" s="43"/>
      <c r="G9" s="43" t="s">
        <v>48</v>
      </c>
      <c r="H9" s="43" t="s">
        <v>299</v>
      </c>
      <c r="I9" s="43" t="s">
        <v>48</v>
      </c>
      <c r="J9" s="43" t="s">
        <v>48</v>
      </c>
      <c r="K9" s="43" t="s">
        <v>48</v>
      </c>
      <c r="L9" s="43"/>
      <c r="M9" s="43" t="s">
        <v>299</v>
      </c>
      <c r="N9" s="43" t="s">
        <v>48</v>
      </c>
      <c r="O9" s="43" t="s">
        <v>299</v>
      </c>
      <c r="P9" s="43" t="s">
        <v>52</v>
      </c>
      <c r="Q9" s="43" t="s">
        <v>48</v>
      </c>
      <c r="R9" s="43"/>
      <c r="S9" s="85" t="s">
        <v>48</v>
      </c>
      <c r="T9" s="43"/>
      <c r="U9" s="43" t="s">
        <v>299</v>
      </c>
      <c r="V9" s="43"/>
      <c r="W9" s="105">
        <f t="shared" si="0"/>
        <v>10</v>
      </c>
      <c r="X9" s="101">
        <f t="shared" si="1"/>
        <v>0</v>
      </c>
      <c r="Y9" s="101">
        <f t="shared" si="2"/>
        <v>0</v>
      </c>
      <c r="Z9" s="101">
        <f t="shared" si="3"/>
        <v>-8</v>
      </c>
      <c r="AA9" s="101">
        <f t="shared" si="4"/>
        <v>1</v>
      </c>
      <c r="AB9" s="102">
        <f t="shared" si="5"/>
        <v>0</v>
      </c>
      <c r="AC9" s="51" t="s">
        <v>89</v>
      </c>
      <c r="AD9" s="141" t="s">
        <v>48</v>
      </c>
      <c r="AF9" s="195">
        <f t="shared" si="9"/>
        <v>9</v>
      </c>
      <c r="AI9" s="6">
        <f t="shared" si="6"/>
        <v>0</v>
      </c>
      <c r="AJ9" s="6">
        <f t="shared" si="6"/>
        <v>-1</v>
      </c>
      <c r="AK9" s="6">
        <f t="shared" si="6"/>
        <v>-1</v>
      </c>
      <c r="AL9" s="6">
        <f t="shared" si="6"/>
        <v>0</v>
      </c>
      <c r="AM9" s="6">
        <f t="shared" si="6"/>
        <v>-1</v>
      </c>
      <c r="AN9" s="6">
        <f t="shared" si="6"/>
        <v>0</v>
      </c>
      <c r="AO9" s="6">
        <f t="shared" si="6"/>
        <v>-1</v>
      </c>
      <c r="AP9" s="6">
        <f t="shared" si="6"/>
        <v>-1</v>
      </c>
      <c r="AQ9" s="6">
        <f t="shared" si="6"/>
        <v>-1</v>
      </c>
      <c r="AR9" s="6">
        <f t="shared" si="6"/>
        <v>0</v>
      </c>
      <c r="AS9" s="6">
        <f t="shared" si="6"/>
        <v>0</v>
      </c>
      <c r="AT9" s="6">
        <f t="shared" si="6"/>
        <v>-1</v>
      </c>
      <c r="AU9" s="6">
        <f t="shared" si="6"/>
        <v>0</v>
      </c>
      <c r="AV9" s="6">
        <f t="shared" si="6"/>
        <v>0</v>
      </c>
      <c r="AW9" s="6">
        <f t="shared" si="6"/>
        <v>-1</v>
      </c>
      <c r="AX9" s="6">
        <f t="shared" si="6"/>
        <v>0</v>
      </c>
      <c r="AY9" s="6">
        <f t="shared" si="7"/>
        <v>0</v>
      </c>
      <c r="AZ9" s="6">
        <f t="shared" si="7"/>
        <v>0</v>
      </c>
      <c r="BA9" s="6">
        <f t="shared" si="7"/>
        <v>0</v>
      </c>
      <c r="BB9" s="6">
        <f t="shared" si="7"/>
        <v>0</v>
      </c>
      <c r="BC9" s="6">
        <f t="shared" si="8"/>
        <v>-8</v>
      </c>
    </row>
    <row r="10" spans="1:55" x14ac:dyDescent="0.25">
      <c r="A10" s="3">
        <v>5</v>
      </c>
      <c r="B10" s="8" t="s">
        <v>73</v>
      </c>
      <c r="C10" s="45" t="s">
        <v>74</v>
      </c>
      <c r="D10" s="43"/>
      <c r="E10" s="43"/>
      <c r="F10" s="43" t="s">
        <v>74</v>
      </c>
      <c r="G10" s="43"/>
      <c r="H10" s="43" t="s">
        <v>74</v>
      </c>
      <c r="I10" s="43" t="s">
        <v>74</v>
      </c>
      <c r="J10" s="43" t="s">
        <v>74</v>
      </c>
      <c r="K10" s="43" t="s">
        <v>74</v>
      </c>
      <c r="L10" s="43"/>
      <c r="M10" s="43" t="s">
        <v>74</v>
      </c>
      <c r="N10" s="43" t="s">
        <v>74</v>
      </c>
      <c r="O10" s="43" t="s">
        <v>74</v>
      </c>
      <c r="P10" s="43" t="s">
        <v>74</v>
      </c>
      <c r="Q10" s="43" t="s">
        <v>74</v>
      </c>
      <c r="R10" s="87"/>
      <c r="S10" s="86" t="s">
        <v>74</v>
      </c>
      <c r="T10" s="43" t="s">
        <v>74</v>
      </c>
      <c r="U10" s="43" t="s">
        <v>74</v>
      </c>
      <c r="V10" s="43" t="s">
        <v>74</v>
      </c>
      <c r="W10" s="105">
        <f t="shared" si="0"/>
        <v>15</v>
      </c>
      <c r="X10" s="101">
        <f t="shared" si="1"/>
        <v>0</v>
      </c>
      <c r="Y10" s="101">
        <f t="shared" si="2"/>
        <v>15</v>
      </c>
      <c r="Z10" s="101">
        <f t="shared" si="3"/>
        <v>0</v>
      </c>
      <c r="AA10" s="101">
        <f t="shared" si="4"/>
        <v>0</v>
      </c>
      <c r="AB10" s="102" t="e">
        <f t="shared" si="5"/>
        <v>#DIV/0!</v>
      </c>
      <c r="AC10" s="140" t="s">
        <v>30</v>
      </c>
      <c r="AD10" s="139" t="s">
        <v>74</v>
      </c>
      <c r="AF10" s="195">
        <f t="shared" si="9"/>
        <v>15</v>
      </c>
      <c r="AI10" s="6">
        <f t="shared" si="6"/>
        <v>0</v>
      </c>
      <c r="AJ10" s="6">
        <f t="shared" si="6"/>
        <v>0</v>
      </c>
      <c r="AK10" s="6">
        <f t="shared" si="6"/>
        <v>0</v>
      </c>
      <c r="AL10" s="6">
        <f t="shared" si="6"/>
        <v>0</v>
      </c>
      <c r="AM10" s="6">
        <f t="shared" si="6"/>
        <v>0</v>
      </c>
      <c r="AN10" s="6">
        <f t="shared" si="6"/>
        <v>0</v>
      </c>
      <c r="AO10" s="6">
        <f t="shared" si="6"/>
        <v>0</v>
      </c>
      <c r="AP10" s="6">
        <f t="shared" si="6"/>
        <v>0</v>
      </c>
      <c r="AQ10" s="6">
        <f t="shared" si="6"/>
        <v>0</v>
      </c>
      <c r="AR10" s="6">
        <f t="shared" si="6"/>
        <v>0</v>
      </c>
      <c r="AS10" s="6">
        <f t="shared" si="6"/>
        <v>0</v>
      </c>
      <c r="AT10" s="6">
        <f t="shared" si="6"/>
        <v>0</v>
      </c>
      <c r="AU10" s="6">
        <f t="shared" si="6"/>
        <v>0</v>
      </c>
      <c r="AV10" s="6">
        <f t="shared" si="6"/>
        <v>0</v>
      </c>
      <c r="AW10" s="6">
        <f t="shared" si="6"/>
        <v>0</v>
      </c>
      <c r="AX10" s="6">
        <f t="shared" si="6"/>
        <v>0</v>
      </c>
      <c r="AY10" s="6">
        <f t="shared" si="7"/>
        <v>0</v>
      </c>
      <c r="AZ10" s="6">
        <f t="shared" si="7"/>
        <v>0</v>
      </c>
      <c r="BA10" s="6">
        <f t="shared" si="7"/>
        <v>0</v>
      </c>
      <c r="BB10" s="6">
        <f t="shared" si="7"/>
        <v>0</v>
      </c>
      <c r="BC10" s="6">
        <f t="shared" si="8"/>
        <v>0</v>
      </c>
    </row>
    <row r="11" spans="1:55" x14ac:dyDescent="0.25">
      <c r="A11" s="3">
        <v>6</v>
      </c>
      <c r="B11" s="8" t="s">
        <v>115</v>
      </c>
      <c r="C11" s="45" t="s">
        <v>299</v>
      </c>
      <c r="D11" s="43" t="s">
        <v>48</v>
      </c>
      <c r="E11" s="43" t="s">
        <v>48</v>
      </c>
      <c r="F11" s="43"/>
      <c r="G11" s="43" t="s">
        <v>48</v>
      </c>
      <c r="H11" s="43" t="s">
        <v>48</v>
      </c>
      <c r="I11" s="43" t="s">
        <v>299</v>
      </c>
      <c r="J11" s="43" t="s">
        <v>52</v>
      </c>
      <c r="K11" s="43"/>
      <c r="L11" s="43"/>
      <c r="M11" s="43" t="s">
        <v>48</v>
      </c>
      <c r="N11" s="43"/>
      <c r="O11" s="43" t="s">
        <v>299</v>
      </c>
      <c r="P11" s="43" t="s">
        <v>48</v>
      </c>
      <c r="Q11" s="43"/>
      <c r="R11" s="43"/>
      <c r="S11" s="85" t="s">
        <v>48</v>
      </c>
      <c r="T11" s="43" t="s">
        <v>48</v>
      </c>
      <c r="U11" s="43" t="s">
        <v>48</v>
      </c>
      <c r="V11" s="43" t="s">
        <v>48</v>
      </c>
      <c r="W11" s="105">
        <f t="shared" si="0"/>
        <v>11</v>
      </c>
      <c r="X11" s="101">
        <f t="shared" si="1"/>
        <v>0</v>
      </c>
      <c r="Y11" s="101">
        <f t="shared" si="2"/>
        <v>0</v>
      </c>
      <c r="Z11" s="101">
        <f t="shared" si="3"/>
        <v>-7</v>
      </c>
      <c r="AA11" s="101">
        <f t="shared" si="4"/>
        <v>1</v>
      </c>
      <c r="AB11" s="102">
        <f t="shared" si="5"/>
        <v>0</v>
      </c>
      <c r="AC11" s="96" t="s">
        <v>92</v>
      </c>
      <c r="AD11" s="138" t="s">
        <v>50</v>
      </c>
      <c r="AF11" s="195">
        <f t="shared" si="9"/>
        <v>10</v>
      </c>
      <c r="AI11" s="6">
        <f t="shared" si="6"/>
        <v>0</v>
      </c>
      <c r="AJ11" s="6">
        <f t="shared" si="6"/>
        <v>-1</v>
      </c>
      <c r="AK11" s="6">
        <f t="shared" si="6"/>
        <v>-1</v>
      </c>
      <c r="AL11" s="6">
        <f t="shared" si="6"/>
        <v>0</v>
      </c>
      <c r="AM11" s="6">
        <f t="shared" si="6"/>
        <v>-1</v>
      </c>
      <c r="AN11" s="6">
        <f t="shared" si="6"/>
        <v>-1</v>
      </c>
      <c r="AO11" s="6">
        <f t="shared" si="6"/>
        <v>0</v>
      </c>
      <c r="AP11" s="6">
        <f t="shared" si="6"/>
        <v>0</v>
      </c>
      <c r="AQ11" s="6">
        <f t="shared" si="6"/>
        <v>0</v>
      </c>
      <c r="AR11" s="6">
        <f t="shared" si="6"/>
        <v>0</v>
      </c>
      <c r="AS11" s="6">
        <f t="shared" si="6"/>
        <v>-1</v>
      </c>
      <c r="AT11" s="6">
        <f t="shared" si="6"/>
        <v>0</v>
      </c>
      <c r="AU11" s="6">
        <f t="shared" si="6"/>
        <v>0</v>
      </c>
      <c r="AV11" s="6">
        <f t="shared" si="6"/>
        <v>-1</v>
      </c>
      <c r="AW11" s="6">
        <f t="shared" si="6"/>
        <v>0</v>
      </c>
      <c r="AX11" s="6">
        <f t="shared" si="6"/>
        <v>0</v>
      </c>
      <c r="AY11" s="6">
        <f t="shared" si="7"/>
        <v>0</v>
      </c>
      <c r="AZ11" s="6">
        <f t="shared" si="7"/>
        <v>0</v>
      </c>
      <c r="BA11" s="6">
        <f t="shared" si="7"/>
        <v>-1</v>
      </c>
      <c r="BB11" s="6">
        <f t="shared" si="7"/>
        <v>0</v>
      </c>
      <c r="BC11" s="6">
        <f t="shared" si="8"/>
        <v>-7</v>
      </c>
    </row>
    <row r="12" spans="1:55" x14ac:dyDescent="0.25">
      <c r="A12" s="3">
        <v>7</v>
      </c>
      <c r="B12" s="8" t="s">
        <v>72</v>
      </c>
      <c r="C12" s="45" t="s">
        <v>48</v>
      </c>
      <c r="D12" s="43"/>
      <c r="E12" s="45"/>
      <c r="F12" s="43" t="s">
        <v>299</v>
      </c>
      <c r="G12" s="43" t="s">
        <v>48</v>
      </c>
      <c r="H12" s="43" t="s">
        <v>299</v>
      </c>
      <c r="I12" s="43" t="s">
        <v>48</v>
      </c>
      <c r="J12" s="43" t="s">
        <v>299</v>
      </c>
      <c r="K12" s="43"/>
      <c r="L12" s="43"/>
      <c r="M12" s="43" t="s">
        <v>299</v>
      </c>
      <c r="N12" s="43" t="s">
        <v>48</v>
      </c>
      <c r="O12" s="43" t="s">
        <v>48</v>
      </c>
      <c r="P12" s="43" t="s">
        <v>48</v>
      </c>
      <c r="Q12" s="43" t="s">
        <v>48</v>
      </c>
      <c r="R12" s="43"/>
      <c r="S12" s="85" t="s">
        <v>48</v>
      </c>
      <c r="T12" s="43" t="s">
        <v>48</v>
      </c>
      <c r="U12" s="43" t="s">
        <v>48</v>
      </c>
      <c r="V12" s="43"/>
      <c r="W12" s="105">
        <f t="shared" si="0"/>
        <v>10</v>
      </c>
      <c r="X12" s="101">
        <f t="shared" si="1"/>
        <v>0</v>
      </c>
      <c r="Y12" s="101">
        <f t="shared" si="2"/>
        <v>0</v>
      </c>
      <c r="Z12" s="101">
        <f t="shared" si="3"/>
        <v>-8</v>
      </c>
      <c r="AA12" s="101">
        <f t="shared" si="4"/>
        <v>0</v>
      </c>
      <c r="AB12" s="102">
        <f t="shared" si="5"/>
        <v>0</v>
      </c>
      <c r="AC12" s="97" t="s">
        <v>93</v>
      </c>
      <c r="AD12" s="12">
        <v>1</v>
      </c>
      <c r="AF12" s="195">
        <f t="shared" si="9"/>
        <v>10</v>
      </c>
      <c r="AI12" s="6">
        <f t="shared" si="6"/>
        <v>-1</v>
      </c>
      <c r="AJ12" s="6">
        <f t="shared" si="6"/>
        <v>0</v>
      </c>
      <c r="AK12" s="6">
        <f t="shared" si="6"/>
        <v>0</v>
      </c>
      <c r="AL12" s="6">
        <f t="shared" si="6"/>
        <v>0</v>
      </c>
      <c r="AM12" s="6">
        <f t="shared" si="6"/>
        <v>-1</v>
      </c>
      <c r="AN12" s="6">
        <f t="shared" si="6"/>
        <v>0</v>
      </c>
      <c r="AO12" s="6">
        <f t="shared" si="6"/>
        <v>-1</v>
      </c>
      <c r="AP12" s="6">
        <f t="shared" si="6"/>
        <v>0</v>
      </c>
      <c r="AQ12" s="6">
        <f t="shared" si="6"/>
        <v>0</v>
      </c>
      <c r="AR12" s="6">
        <f t="shared" si="6"/>
        <v>0</v>
      </c>
      <c r="AS12" s="6">
        <f t="shared" si="6"/>
        <v>0</v>
      </c>
      <c r="AT12" s="6">
        <f t="shared" si="6"/>
        <v>-1</v>
      </c>
      <c r="AU12" s="6">
        <f t="shared" si="6"/>
        <v>-1</v>
      </c>
      <c r="AV12" s="6">
        <f t="shared" si="6"/>
        <v>-1</v>
      </c>
      <c r="AW12" s="6">
        <f t="shared" si="6"/>
        <v>-1</v>
      </c>
      <c r="AX12" s="6">
        <f t="shared" si="6"/>
        <v>0</v>
      </c>
      <c r="AY12" s="6">
        <f t="shared" si="7"/>
        <v>0</v>
      </c>
      <c r="AZ12" s="6">
        <f t="shared" si="7"/>
        <v>0</v>
      </c>
      <c r="BA12" s="6">
        <f t="shared" si="7"/>
        <v>-1</v>
      </c>
      <c r="BB12" s="6">
        <f t="shared" si="7"/>
        <v>0</v>
      </c>
      <c r="BC12" s="6">
        <f t="shared" si="8"/>
        <v>-8</v>
      </c>
    </row>
    <row r="13" spans="1:55" x14ac:dyDescent="0.25">
      <c r="A13" s="3">
        <v>8</v>
      </c>
      <c r="B13" s="8" t="s">
        <v>60</v>
      </c>
      <c r="C13" s="9" t="s">
        <v>48</v>
      </c>
      <c r="D13" s="43"/>
      <c r="E13" s="43"/>
      <c r="F13" s="43" t="s">
        <v>48</v>
      </c>
      <c r="G13" s="43" t="s">
        <v>48</v>
      </c>
      <c r="H13" s="43" t="s">
        <v>299</v>
      </c>
      <c r="I13" s="43" t="s">
        <v>48</v>
      </c>
      <c r="J13" s="43" t="s">
        <v>299</v>
      </c>
      <c r="K13" s="43" t="s">
        <v>48</v>
      </c>
      <c r="L13" s="43"/>
      <c r="M13" s="43" t="s">
        <v>299</v>
      </c>
      <c r="N13" s="43" t="s">
        <v>48</v>
      </c>
      <c r="O13" s="43" t="s">
        <v>299</v>
      </c>
      <c r="P13" s="43" t="s">
        <v>48</v>
      </c>
      <c r="Q13" s="43" t="s">
        <v>48</v>
      </c>
      <c r="R13" s="43"/>
      <c r="S13" s="85" t="s">
        <v>48</v>
      </c>
      <c r="T13" s="43"/>
      <c r="U13" s="43"/>
      <c r="V13" s="43"/>
      <c r="W13" s="105">
        <f t="shared" si="0"/>
        <v>9</v>
      </c>
      <c r="X13" s="101">
        <f t="shared" si="1"/>
        <v>0</v>
      </c>
      <c r="Y13" s="101">
        <f t="shared" si="2"/>
        <v>0</v>
      </c>
      <c r="Z13" s="101">
        <f t="shared" si="3"/>
        <v>-8</v>
      </c>
      <c r="AA13" s="101">
        <f t="shared" si="4"/>
        <v>0</v>
      </c>
      <c r="AB13" s="102">
        <f t="shared" si="5"/>
        <v>0</v>
      </c>
      <c r="AC13" s="137" t="s">
        <v>32</v>
      </c>
      <c r="AD13" s="136" t="s">
        <v>52</v>
      </c>
      <c r="AF13" s="195">
        <f t="shared" si="9"/>
        <v>9</v>
      </c>
      <c r="AI13" s="6">
        <f t="shared" si="6"/>
        <v>-1</v>
      </c>
      <c r="AJ13" s="6">
        <f t="shared" si="6"/>
        <v>0</v>
      </c>
      <c r="AK13" s="6">
        <f t="shared" si="6"/>
        <v>0</v>
      </c>
      <c r="AL13" s="6">
        <f t="shared" si="6"/>
        <v>-1</v>
      </c>
      <c r="AM13" s="6">
        <f t="shared" si="6"/>
        <v>-1</v>
      </c>
      <c r="AN13" s="6">
        <f t="shared" si="6"/>
        <v>0</v>
      </c>
      <c r="AO13" s="6">
        <f t="shared" si="6"/>
        <v>-1</v>
      </c>
      <c r="AP13" s="6">
        <f t="shared" si="6"/>
        <v>0</v>
      </c>
      <c r="AQ13" s="6">
        <f t="shared" si="6"/>
        <v>-1</v>
      </c>
      <c r="AR13" s="6">
        <f t="shared" si="6"/>
        <v>0</v>
      </c>
      <c r="AS13" s="6">
        <f t="shared" si="6"/>
        <v>0</v>
      </c>
      <c r="AT13" s="6">
        <f t="shared" si="6"/>
        <v>-1</v>
      </c>
      <c r="AU13" s="6">
        <f t="shared" si="6"/>
        <v>0</v>
      </c>
      <c r="AV13" s="6">
        <f t="shared" si="6"/>
        <v>-1</v>
      </c>
      <c r="AW13" s="6">
        <f t="shared" si="6"/>
        <v>-1</v>
      </c>
      <c r="AX13" s="6">
        <f t="shared" si="6"/>
        <v>0</v>
      </c>
      <c r="AY13" s="6">
        <f t="shared" si="7"/>
        <v>0</v>
      </c>
      <c r="AZ13" s="6">
        <f t="shared" si="7"/>
        <v>0</v>
      </c>
      <c r="BA13" s="6">
        <f t="shared" si="7"/>
        <v>0</v>
      </c>
      <c r="BB13" s="6">
        <f t="shared" si="7"/>
        <v>0</v>
      </c>
      <c r="BC13" s="6">
        <f t="shared" si="8"/>
        <v>-8</v>
      </c>
    </row>
    <row r="14" spans="1:55" x14ac:dyDescent="0.25">
      <c r="A14" s="3">
        <v>9</v>
      </c>
      <c r="B14" s="8" t="s">
        <v>55</v>
      </c>
      <c r="C14" s="9" t="s">
        <v>299</v>
      </c>
      <c r="D14" s="43"/>
      <c r="E14" s="43" t="s">
        <v>48</v>
      </c>
      <c r="F14" s="43" t="s">
        <v>48</v>
      </c>
      <c r="G14" s="43" t="s">
        <v>48</v>
      </c>
      <c r="H14" s="43" t="s">
        <v>48</v>
      </c>
      <c r="I14" s="43" t="s">
        <v>299</v>
      </c>
      <c r="J14" s="43" t="s">
        <v>48</v>
      </c>
      <c r="K14" s="43" t="s">
        <v>48</v>
      </c>
      <c r="L14" s="43"/>
      <c r="M14" s="43" t="s">
        <v>299</v>
      </c>
      <c r="N14" s="43" t="s">
        <v>299</v>
      </c>
      <c r="O14" s="43" t="s">
        <v>48</v>
      </c>
      <c r="P14" s="43"/>
      <c r="Q14" s="43"/>
      <c r="R14" s="43"/>
      <c r="S14" s="85"/>
      <c r="T14" s="43" t="s">
        <v>48</v>
      </c>
      <c r="U14" s="43"/>
      <c r="V14" s="43" t="s">
        <v>48</v>
      </c>
      <c r="W14" s="105">
        <f t="shared" si="0"/>
        <v>9</v>
      </c>
      <c r="X14" s="101">
        <f t="shared" si="1"/>
        <v>0</v>
      </c>
      <c r="Y14" s="101">
        <f t="shared" si="2"/>
        <v>0</v>
      </c>
      <c r="Z14" s="101">
        <f t="shared" si="3"/>
        <v>-7</v>
      </c>
      <c r="AA14" s="101">
        <f t="shared" si="4"/>
        <v>0</v>
      </c>
      <c r="AB14" s="102">
        <f t="shared" si="5"/>
        <v>0</v>
      </c>
      <c r="AC14" s="99" t="s">
        <v>94</v>
      </c>
      <c r="AD14" s="135">
        <v>1</v>
      </c>
      <c r="AF14" s="195">
        <f t="shared" si="9"/>
        <v>9</v>
      </c>
      <c r="AI14" s="6">
        <f t="shared" si="6"/>
        <v>0</v>
      </c>
      <c r="AJ14" s="6">
        <f t="shared" si="6"/>
        <v>0</v>
      </c>
      <c r="AK14" s="6">
        <f t="shared" si="6"/>
        <v>-1</v>
      </c>
      <c r="AL14" s="6">
        <f t="shared" si="6"/>
        <v>-1</v>
      </c>
      <c r="AM14" s="6">
        <f t="shared" si="6"/>
        <v>-1</v>
      </c>
      <c r="AN14" s="6">
        <f t="shared" si="6"/>
        <v>-1</v>
      </c>
      <c r="AO14" s="6">
        <f t="shared" si="6"/>
        <v>0</v>
      </c>
      <c r="AP14" s="6">
        <f t="shared" si="6"/>
        <v>-1</v>
      </c>
      <c r="AQ14" s="6">
        <f t="shared" si="6"/>
        <v>-1</v>
      </c>
      <c r="AR14" s="6">
        <f t="shared" si="6"/>
        <v>0</v>
      </c>
      <c r="AS14" s="6">
        <f t="shared" si="6"/>
        <v>0</v>
      </c>
      <c r="AT14" s="6">
        <f t="shared" si="6"/>
        <v>0</v>
      </c>
      <c r="AU14" s="6">
        <f t="shared" si="6"/>
        <v>-1</v>
      </c>
      <c r="AV14" s="6">
        <f t="shared" si="6"/>
        <v>0</v>
      </c>
      <c r="AW14" s="6">
        <f t="shared" si="6"/>
        <v>0</v>
      </c>
      <c r="AX14" s="6">
        <f t="shared" si="6"/>
        <v>0</v>
      </c>
      <c r="AY14" s="6">
        <f t="shared" si="7"/>
        <v>0</v>
      </c>
      <c r="AZ14" s="6">
        <f t="shared" si="7"/>
        <v>0</v>
      </c>
      <c r="BA14" s="6">
        <f t="shared" si="7"/>
        <v>0</v>
      </c>
      <c r="BB14" s="6">
        <f t="shared" si="7"/>
        <v>0</v>
      </c>
      <c r="BC14" s="6">
        <f t="shared" si="8"/>
        <v>-7</v>
      </c>
    </row>
    <row r="15" spans="1:55" x14ac:dyDescent="0.25">
      <c r="A15" s="3">
        <v>10</v>
      </c>
      <c r="B15" s="8" t="s">
        <v>77</v>
      </c>
      <c r="C15" s="9" t="s">
        <v>48</v>
      </c>
      <c r="D15" s="45"/>
      <c r="E15" s="43" t="s">
        <v>74</v>
      </c>
      <c r="F15" s="43" t="s">
        <v>299</v>
      </c>
      <c r="G15" s="43" t="s">
        <v>74</v>
      </c>
      <c r="H15" s="43" t="s">
        <v>48</v>
      </c>
      <c r="I15" s="43" t="s">
        <v>48</v>
      </c>
      <c r="J15" s="43" t="s">
        <v>52</v>
      </c>
      <c r="K15" s="43"/>
      <c r="L15" s="43"/>
      <c r="M15" s="43"/>
      <c r="N15" s="43" t="s">
        <v>48</v>
      </c>
      <c r="O15" s="43"/>
      <c r="P15" s="43" t="s">
        <v>299</v>
      </c>
      <c r="Q15" s="43"/>
      <c r="R15" s="43"/>
      <c r="S15" s="86" t="s">
        <v>48</v>
      </c>
      <c r="T15" s="43"/>
      <c r="U15" s="43" t="s">
        <v>52</v>
      </c>
      <c r="V15" s="43" t="s">
        <v>48</v>
      </c>
      <c r="W15" s="105">
        <f t="shared" si="0"/>
        <v>10</v>
      </c>
      <c r="X15" s="101">
        <f t="shared" si="1"/>
        <v>0</v>
      </c>
      <c r="Y15" s="101">
        <f t="shared" si="2"/>
        <v>2</v>
      </c>
      <c r="Z15" s="101">
        <f t="shared" si="3"/>
        <v>-4</v>
      </c>
      <c r="AA15" s="101">
        <f t="shared" si="4"/>
        <v>2</v>
      </c>
      <c r="AB15" s="102">
        <f t="shared" si="5"/>
        <v>0</v>
      </c>
      <c r="AC15" s="65"/>
      <c r="AD15" s="3"/>
      <c r="AF15" s="195">
        <f t="shared" si="9"/>
        <v>8</v>
      </c>
      <c r="AI15" s="6">
        <f t="shared" si="6"/>
        <v>-1</v>
      </c>
      <c r="AJ15" s="6">
        <f t="shared" si="6"/>
        <v>0</v>
      </c>
      <c r="AK15" s="6">
        <f t="shared" si="6"/>
        <v>0</v>
      </c>
      <c r="AL15" s="6">
        <f t="shared" si="6"/>
        <v>0</v>
      </c>
      <c r="AM15" s="6">
        <f t="shared" si="6"/>
        <v>0</v>
      </c>
      <c r="AN15" s="6">
        <f t="shared" si="6"/>
        <v>-1</v>
      </c>
      <c r="AO15" s="6">
        <f t="shared" si="6"/>
        <v>-1</v>
      </c>
      <c r="AP15" s="6">
        <f t="shared" si="6"/>
        <v>0</v>
      </c>
      <c r="AQ15" s="6">
        <f t="shared" si="6"/>
        <v>0</v>
      </c>
      <c r="AR15" s="6">
        <f t="shared" si="6"/>
        <v>0</v>
      </c>
      <c r="AS15" s="6">
        <f t="shared" si="6"/>
        <v>0</v>
      </c>
      <c r="AT15" s="6">
        <f t="shared" si="6"/>
        <v>-1</v>
      </c>
      <c r="AU15" s="6">
        <f t="shared" si="6"/>
        <v>0</v>
      </c>
      <c r="AV15" s="6">
        <f t="shared" si="6"/>
        <v>0</v>
      </c>
      <c r="AW15" s="6">
        <f t="shared" si="6"/>
        <v>0</v>
      </c>
      <c r="AX15" s="6">
        <f t="shared" si="6"/>
        <v>0</v>
      </c>
      <c r="AY15" s="6">
        <f t="shared" si="7"/>
        <v>0</v>
      </c>
      <c r="AZ15" s="6">
        <f t="shared" si="7"/>
        <v>0</v>
      </c>
      <c r="BA15" s="6">
        <f t="shared" si="7"/>
        <v>0</v>
      </c>
      <c r="BB15" s="6">
        <f t="shared" si="7"/>
        <v>0</v>
      </c>
      <c r="BC15" s="6">
        <f t="shared" si="8"/>
        <v>-4</v>
      </c>
    </row>
    <row r="16" spans="1:55" x14ac:dyDescent="0.25">
      <c r="A16" s="3">
        <v>11</v>
      </c>
      <c r="B16" s="8" t="s">
        <v>59</v>
      </c>
      <c r="C16" s="45" t="s">
        <v>299</v>
      </c>
      <c r="D16" s="43" t="s">
        <v>74</v>
      </c>
      <c r="E16" s="43"/>
      <c r="F16" s="43" t="s">
        <v>48</v>
      </c>
      <c r="G16" s="43" t="s">
        <v>48</v>
      </c>
      <c r="H16" s="43" t="s">
        <v>299</v>
      </c>
      <c r="I16" s="43"/>
      <c r="J16" s="43" t="s">
        <v>52</v>
      </c>
      <c r="K16" s="43" t="s">
        <v>48</v>
      </c>
      <c r="L16" s="43"/>
      <c r="M16" s="43" t="s">
        <v>52</v>
      </c>
      <c r="N16" s="43"/>
      <c r="O16" s="43" t="s">
        <v>48</v>
      </c>
      <c r="P16" s="43" t="s">
        <v>299</v>
      </c>
      <c r="Q16" s="43"/>
      <c r="R16" s="43"/>
      <c r="S16" s="85"/>
      <c r="T16" s="43"/>
      <c r="U16" s="43" t="s">
        <v>48</v>
      </c>
      <c r="V16" s="43" t="s">
        <v>48</v>
      </c>
      <c r="W16" s="105">
        <f t="shared" si="0"/>
        <v>9</v>
      </c>
      <c r="X16" s="101">
        <f t="shared" si="1"/>
        <v>0</v>
      </c>
      <c r="Y16" s="101">
        <f t="shared" si="2"/>
        <v>1</v>
      </c>
      <c r="Z16" s="101">
        <f t="shared" si="3"/>
        <v>-5</v>
      </c>
      <c r="AA16" s="101">
        <f t="shared" si="4"/>
        <v>2</v>
      </c>
      <c r="AB16" s="102">
        <f t="shared" si="5"/>
        <v>0</v>
      </c>
      <c r="AC16" s="129" t="s">
        <v>87</v>
      </c>
      <c r="AD16" s="6"/>
      <c r="AF16" s="195">
        <f t="shared" si="9"/>
        <v>7</v>
      </c>
      <c r="AI16" s="6">
        <f t="shared" si="6"/>
        <v>0</v>
      </c>
      <c r="AJ16" s="6">
        <f t="shared" si="6"/>
        <v>0</v>
      </c>
      <c r="AK16" s="6">
        <f t="shared" si="6"/>
        <v>0</v>
      </c>
      <c r="AL16" s="6">
        <f t="shared" si="6"/>
        <v>-1</v>
      </c>
      <c r="AM16" s="6">
        <f t="shared" si="6"/>
        <v>-1</v>
      </c>
      <c r="AN16" s="6">
        <f t="shared" si="6"/>
        <v>0</v>
      </c>
      <c r="AO16" s="6">
        <f t="shared" si="6"/>
        <v>0</v>
      </c>
      <c r="AP16" s="6">
        <f t="shared" si="6"/>
        <v>0</v>
      </c>
      <c r="AQ16" s="6">
        <f t="shared" si="6"/>
        <v>-1</v>
      </c>
      <c r="AR16" s="6">
        <f t="shared" si="6"/>
        <v>0</v>
      </c>
      <c r="AS16" s="6">
        <f t="shared" si="6"/>
        <v>0</v>
      </c>
      <c r="AT16" s="6">
        <f t="shared" si="6"/>
        <v>0</v>
      </c>
      <c r="AU16" s="6">
        <f t="shared" si="6"/>
        <v>-1</v>
      </c>
      <c r="AV16" s="6">
        <f t="shared" si="6"/>
        <v>0</v>
      </c>
      <c r="AW16" s="6">
        <f t="shared" si="6"/>
        <v>0</v>
      </c>
      <c r="AX16" s="6">
        <f t="shared" si="6"/>
        <v>0</v>
      </c>
      <c r="AY16" s="6">
        <f t="shared" si="7"/>
        <v>0</v>
      </c>
      <c r="AZ16" s="6">
        <f t="shared" si="7"/>
        <v>0</v>
      </c>
      <c r="BA16" s="6">
        <f t="shared" si="7"/>
        <v>-1</v>
      </c>
      <c r="BB16" s="6">
        <f t="shared" si="7"/>
        <v>0</v>
      </c>
      <c r="BC16" s="6">
        <f t="shared" si="8"/>
        <v>-5</v>
      </c>
    </row>
    <row r="17" spans="1:55" x14ac:dyDescent="0.25">
      <c r="A17" s="3">
        <v>12</v>
      </c>
      <c r="B17" s="8" t="s">
        <v>53</v>
      </c>
      <c r="C17" s="9"/>
      <c r="D17" s="45" t="s">
        <v>48</v>
      </c>
      <c r="E17" s="43" t="s">
        <v>48</v>
      </c>
      <c r="F17" s="43" t="s">
        <v>48</v>
      </c>
      <c r="G17" s="43"/>
      <c r="H17" s="43" t="s">
        <v>299</v>
      </c>
      <c r="I17" s="43" t="s">
        <v>299</v>
      </c>
      <c r="J17" s="43" t="s">
        <v>48</v>
      </c>
      <c r="K17" s="43" t="s">
        <v>299</v>
      </c>
      <c r="L17" s="43"/>
      <c r="M17" s="43"/>
      <c r="N17" s="43" t="s">
        <v>48</v>
      </c>
      <c r="O17" s="43"/>
      <c r="P17" s="43" t="s">
        <v>48</v>
      </c>
      <c r="Q17" s="43" t="s">
        <v>48</v>
      </c>
      <c r="R17" s="43"/>
      <c r="S17" s="86"/>
      <c r="T17" s="43" t="s">
        <v>48</v>
      </c>
      <c r="U17" s="43" t="s">
        <v>48</v>
      </c>
      <c r="V17" s="43"/>
      <c r="W17" s="105">
        <f t="shared" si="0"/>
        <v>9</v>
      </c>
      <c r="X17" s="101">
        <f t="shared" si="1"/>
        <v>0</v>
      </c>
      <c r="Y17" s="101">
        <f t="shared" si="2"/>
        <v>0</v>
      </c>
      <c r="Z17" s="101">
        <f t="shared" si="3"/>
        <v>-8</v>
      </c>
      <c r="AA17" s="101">
        <f t="shared" si="4"/>
        <v>0</v>
      </c>
      <c r="AB17" s="102">
        <f t="shared" si="5"/>
        <v>0</v>
      </c>
      <c r="AC17" s="130" t="s">
        <v>88</v>
      </c>
      <c r="AD17" s="6"/>
      <c r="AF17" s="195">
        <f t="shared" si="9"/>
        <v>9</v>
      </c>
      <c r="AI17" s="6">
        <f t="shared" si="6"/>
        <v>0</v>
      </c>
      <c r="AJ17" s="6">
        <f t="shared" si="6"/>
        <v>-1</v>
      </c>
      <c r="AK17" s="6">
        <f t="shared" si="6"/>
        <v>-1</v>
      </c>
      <c r="AL17" s="6">
        <f t="shared" si="6"/>
        <v>-1</v>
      </c>
      <c r="AM17" s="6">
        <f t="shared" si="6"/>
        <v>0</v>
      </c>
      <c r="AN17" s="6">
        <f t="shared" si="6"/>
        <v>0</v>
      </c>
      <c r="AO17" s="6">
        <f t="shared" si="6"/>
        <v>0</v>
      </c>
      <c r="AP17" s="6">
        <f t="shared" si="6"/>
        <v>-1</v>
      </c>
      <c r="AQ17" s="6">
        <f t="shared" si="6"/>
        <v>0</v>
      </c>
      <c r="AR17" s="6">
        <f t="shared" si="6"/>
        <v>0</v>
      </c>
      <c r="AS17" s="6">
        <f t="shared" si="6"/>
        <v>0</v>
      </c>
      <c r="AT17" s="6">
        <f t="shared" si="6"/>
        <v>-1</v>
      </c>
      <c r="AU17" s="6">
        <f t="shared" si="6"/>
        <v>0</v>
      </c>
      <c r="AV17" s="6">
        <f t="shared" si="6"/>
        <v>-1</v>
      </c>
      <c r="AW17" s="6">
        <f t="shared" si="6"/>
        <v>-1</v>
      </c>
      <c r="AX17" s="6">
        <f t="shared" si="6"/>
        <v>0</v>
      </c>
      <c r="AY17" s="6">
        <f t="shared" si="7"/>
        <v>0</v>
      </c>
      <c r="AZ17" s="6">
        <f t="shared" si="7"/>
        <v>0</v>
      </c>
      <c r="BA17" s="6">
        <f t="shared" si="7"/>
        <v>-1</v>
      </c>
      <c r="BB17" s="6">
        <f t="shared" si="7"/>
        <v>0</v>
      </c>
      <c r="BC17" s="6">
        <f t="shared" si="8"/>
        <v>-8</v>
      </c>
    </row>
    <row r="18" spans="1:55" x14ac:dyDescent="0.25">
      <c r="A18" s="3">
        <v>13</v>
      </c>
      <c r="B18" s="8" t="s">
        <v>61</v>
      </c>
      <c r="C18" s="9" t="s">
        <v>299</v>
      </c>
      <c r="D18" s="9" t="s">
        <v>52</v>
      </c>
      <c r="E18" s="43"/>
      <c r="F18" s="43" t="s">
        <v>299</v>
      </c>
      <c r="G18" s="43"/>
      <c r="H18" s="9" t="s">
        <v>48</v>
      </c>
      <c r="I18" s="43"/>
      <c r="J18" s="43"/>
      <c r="K18" s="43" t="s">
        <v>48</v>
      </c>
      <c r="L18" s="9"/>
      <c r="M18" s="9" t="s">
        <v>48</v>
      </c>
      <c r="N18" s="9" t="s">
        <v>48</v>
      </c>
      <c r="O18" s="43" t="s">
        <v>299</v>
      </c>
      <c r="P18" s="43" t="s">
        <v>48</v>
      </c>
      <c r="Q18" s="43"/>
      <c r="R18" s="43"/>
      <c r="S18" s="85" t="s">
        <v>48</v>
      </c>
      <c r="T18" s="43"/>
      <c r="U18" s="43" t="s">
        <v>299</v>
      </c>
      <c r="V18" s="43" t="s">
        <v>48</v>
      </c>
      <c r="W18" s="105">
        <f t="shared" si="0"/>
        <v>8</v>
      </c>
      <c r="X18" s="101">
        <f t="shared" si="1"/>
        <v>0</v>
      </c>
      <c r="Y18" s="101">
        <f t="shared" si="2"/>
        <v>0</v>
      </c>
      <c r="Z18" s="101">
        <f t="shared" si="3"/>
        <v>-5</v>
      </c>
      <c r="AA18" s="101">
        <f t="shared" si="4"/>
        <v>1</v>
      </c>
      <c r="AB18" s="102">
        <f t="shared" si="5"/>
        <v>0</v>
      </c>
      <c r="AC18" s="131" t="s">
        <v>95</v>
      </c>
      <c r="AD18" s="6"/>
      <c r="AF18" s="195">
        <f t="shared" si="9"/>
        <v>7</v>
      </c>
      <c r="AI18" s="6">
        <f t="shared" si="6"/>
        <v>0</v>
      </c>
      <c r="AJ18" s="6">
        <f t="shared" si="6"/>
        <v>0</v>
      </c>
      <c r="AK18" s="6">
        <f t="shared" si="6"/>
        <v>0</v>
      </c>
      <c r="AL18" s="6">
        <f t="shared" si="6"/>
        <v>0</v>
      </c>
      <c r="AM18" s="6">
        <f t="shared" si="6"/>
        <v>0</v>
      </c>
      <c r="AN18" s="6">
        <f t="shared" si="6"/>
        <v>-1</v>
      </c>
      <c r="AO18" s="6">
        <f t="shared" si="6"/>
        <v>0</v>
      </c>
      <c r="AP18" s="6">
        <f t="shared" si="6"/>
        <v>0</v>
      </c>
      <c r="AQ18" s="6">
        <f t="shared" si="6"/>
        <v>-1</v>
      </c>
      <c r="AR18" s="6">
        <f t="shared" si="6"/>
        <v>0</v>
      </c>
      <c r="AS18" s="6">
        <f t="shared" si="6"/>
        <v>-1</v>
      </c>
      <c r="AT18" s="6">
        <f t="shared" si="6"/>
        <v>-1</v>
      </c>
      <c r="AU18" s="6">
        <f t="shared" si="6"/>
        <v>0</v>
      </c>
      <c r="AV18" s="6">
        <f t="shared" si="6"/>
        <v>-1</v>
      </c>
      <c r="AW18" s="6">
        <f t="shared" si="6"/>
        <v>0</v>
      </c>
      <c r="AX18" s="6">
        <f t="shared" si="6"/>
        <v>0</v>
      </c>
      <c r="AY18" s="6">
        <f t="shared" si="7"/>
        <v>0</v>
      </c>
      <c r="AZ18" s="6">
        <f t="shared" si="7"/>
        <v>0</v>
      </c>
      <c r="BA18" s="6">
        <f t="shared" si="7"/>
        <v>0</v>
      </c>
      <c r="BB18" s="6">
        <f t="shared" si="7"/>
        <v>0</v>
      </c>
      <c r="BC18" s="6">
        <f t="shared" si="8"/>
        <v>-5</v>
      </c>
    </row>
    <row r="19" spans="1:55" x14ac:dyDescent="0.25">
      <c r="A19" s="3">
        <v>14</v>
      </c>
      <c r="B19" s="8" t="s">
        <v>70</v>
      </c>
      <c r="C19" s="45" t="s">
        <v>48</v>
      </c>
      <c r="D19" s="43"/>
      <c r="E19" s="43"/>
      <c r="F19" s="43"/>
      <c r="G19" s="43" t="s">
        <v>52</v>
      </c>
      <c r="H19" s="43"/>
      <c r="I19" s="43" t="s">
        <v>299</v>
      </c>
      <c r="J19" s="43" t="s">
        <v>299</v>
      </c>
      <c r="K19" s="43" t="s">
        <v>48</v>
      </c>
      <c r="L19" s="43"/>
      <c r="M19" s="43" t="s">
        <v>48</v>
      </c>
      <c r="N19" s="43" t="s">
        <v>48</v>
      </c>
      <c r="O19" s="43" t="s">
        <v>299</v>
      </c>
      <c r="P19" s="43" t="s">
        <v>48</v>
      </c>
      <c r="Q19" s="43" t="s">
        <v>48</v>
      </c>
      <c r="R19" s="43"/>
      <c r="S19" s="85" t="s">
        <v>48</v>
      </c>
      <c r="T19" s="43"/>
      <c r="U19" s="43" t="s">
        <v>299</v>
      </c>
      <c r="V19" s="43"/>
      <c r="W19" s="105">
        <f t="shared" si="0"/>
        <v>8</v>
      </c>
      <c r="X19" s="101">
        <f t="shared" si="1"/>
        <v>0</v>
      </c>
      <c r="Y19" s="101">
        <f t="shared" si="2"/>
        <v>0</v>
      </c>
      <c r="Z19" s="101">
        <f t="shared" si="3"/>
        <v>-6</v>
      </c>
      <c r="AA19" s="101">
        <f t="shared" si="4"/>
        <v>1</v>
      </c>
      <c r="AB19" s="102">
        <f t="shared" si="5"/>
        <v>0</v>
      </c>
      <c r="AC19" s="132" t="s">
        <v>91</v>
      </c>
      <c r="AD19" s="6"/>
      <c r="AF19" s="195">
        <f t="shared" si="9"/>
        <v>7</v>
      </c>
      <c r="AI19" s="6">
        <f t="shared" si="6"/>
        <v>-1</v>
      </c>
      <c r="AJ19" s="6">
        <f t="shared" si="6"/>
        <v>0</v>
      </c>
      <c r="AK19" s="6">
        <f t="shared" si="6"/>
        <v>0</v>
      </c>
      <c r="AL19" s="6">
        <f t="shared" si="6"/>
        <v>0</v>
      </c>
      <c r="AM19" s="6">
        <f t="shared" si="6"/>
        <v>0</v>
      </c>
      <c r="AN19" s="6">
        <f t="shared" si="6"/>
        <v>0</v>
      </c>
      <c r="AO19" s="6">
        <f t="shared" si="6"/>
        <v>0</v>
      </c>
      <c r="AP19" s="6">
        <f t="shared" si="6"/>
        <v>0</v>
      </c>
      <c r="AQ19" s="6">
        <f t="shared" si="6"/>
        <v>-1</v>
      </c>
      <c r="AR19" s="6">
        <f t="shared" si="6"/>
        <v>0</v>
      </c>
      <c r="AS19" s="6">
        <f t="shared" si="6"/>
        <v>-1</v>
      </c>
      <c r="AT19" s="6">
        <f t="shared" si="6"/>
        <v>-1</v>
      </c>
      <c r="AU19" s="6">
        <f t="shared" si="6"/>
        <v>0</v>
      </c>
      <c r="AV19" s="6">
        <f t="shared" si="6"/>
        <v>-1</v>
      </c>
      <c r="AW19" s="6">
        <f t="shared" si="6"/>
        <v>-1</v>
      </c>
      <c r="AX19" s="6">
        <f t="shared" si="6"/>
        <v>0</v>
      </c>
      <c r="AY19" s="6">
        <f t="shared" si="7"/>
        <v>0</v>
      </c>
      <c r="AZ19" s="6">
        <f t="shared" si="7"/>
        <v>0</v>
      </c>
      <c r="BA19" s="6">
        <f t="shared" si="7"/>
        <v>0</v>
      </c>
      <c r="BB19" s="6">
        <f t="shared" si="7"/>
        <v>0</v>
      </c>
      <c r="BC19" s="6">
        <f t="shared" si="8"/>
        <v>-6</v>
      </c>
    </row>
    <row r="20" spans="1:55" x14ac:dyDescent="0.25">
      <c r="A20" s="3">
        <v>15</v>
      </c>
      <c r="B20" s="8" t="s">
        <v>116</v>
      </c>
      <c r="C20" s="9" t="s">
        <v>299</v>
      </c>
      <c r="D20" s="43"/>
      <c r="E20" s="43"/>
      <c r="F20" s="43"/>
      <c r="G20" s="43" t="s">
        <v>48</v>
      </c>
      <c r="H20" s="43" t="s">
        <v>48</v>
      </c>
      <c r="I20" s="43"/>
      <c r="J20" s="43" t="s">
        <v>299</v>
      </c>
      <c r="K20" s="43"/>
      <c r="L20" s="43"/>
      <c r="M20" s="43" t="s">
        <v>48</v>
      </c>
      <c r="N20" s="43" t="s">
        <v>299</v>
      </c>
      <c r="O20" s="43" t="s">
        <v>48</v>
      </c>
      <c r="P20" s="43" t="s">
        <v>299</v>
      </c>
      <c r="Q20" s="43"/>
      <c r="R20" s="43"/>
      <c r="S20" s="85"/>
      <c r="T20" s="43"/>
      <c r="U20" s="43" t="s">
        <v>48</v>
      </c>
      <c r="V20" s="43" t="s">
        <v>48</v>
      </c>
      <c r="W20" s="105">
        <f t="shared" si="0"/>
        <v>6</v>
      </c>
      <c r="X20" s="101">
        <f t="shared" si="1"/>
        <v>0</v>
      </c>
      <c r="Y20" s="101">
        <f t="shared" si="2"/>
        <v>0</v>
      </c>
      <c r="Z20" s="101">
        <f t="shared" si="3"/>
        <v>-5</v>
      </c>
      <c r="AA20" s="101">
        <f t="shared" si="4"/>
        <v>0</v>
      </c>
      <c r="AB20" s="102">
        <f t="shared" si="5"/>
        <v>0</v>
      </c>
      <c r="AC20" s="6"/>
      <c r="AD20" s="6"/>
      <c r="AF20" s="195">
        <f t="shared" si="9"/>
        <v>6</v>
      </c>
      <c r="AI20" s="6">
        <f t="shared" si="6"/>
        <v>0</v>
      </c>
      <c r="AJ20" s="6">
        <f t="shared" si="6"/>
        <v>0</v>
      </c>
      <c r="AK20" s="6">
        <f t="shared" si="6"/>
        <v>0</v>
      </c>
      <c r="AL20" s="6">
        <f t="shared" si="6"/>
        <v>0</v>
      </c>
      <c r="AM20" s="6">
        <f t="shared" si="6"/>
        <v>-1</v>
      </c>
      <c r="AN20" s="6">
        <f t="shared" si="6"/>
        <v>-1</v>
      </c>
      <c r="AO20" s="6">
        <f t="shared" si="6"/>
        <v>0</v>
      </c>
      <c r="AP20" s="6">
        <f t="shared" si="6"/>
        <v>0</v>
      </c>
      <c r="AQ20" s="6">
        <f t="shared" si="6"/>
        <v>0</v>
      </c>
      <c r="AR20" s="6">
        <f t="shared" si="6"/>
        <v>0</v>
      </c>
      <c r="AS20" s="6">
        <f t="shared" si="6"/>
        <v>-1</v>
      </c>
      <c r="AT20" s="6">
        <f t="shared" si="6"/>
        <v>0</v>
      </c>
      <c r="AU20" s="6">
        <f t="shared" si="6"/>
        <v>-1</v>
      </c>
      <c r="AV20" s="6">
        <f t="shared" si="6"/>
        <v>0</v>
      </c>
      <c r="AW20" s="6">
        <f t="shared" si="6"/>
        <v>0</v>
      </c>
      <c r="AX20" s="6">
        <f t="shared" si="6"/>
        <v>0</v>
      </c>
      <c r="AY20" s="6">
        <f t="shared" si="7"/>
        <v>0</v>
      </c>
      <c r="AZ20" s="6">
        <f t="shared" si="7"/>
        <v>0</v>
      </c>
      <c r="BA20" s="6">
        <f t="shared" si="7"/>
        <v>-1</v>
      </c>
      <c r="BB20" s="6">
        <f t="shared" si="7"/>
        <v>0</v>
      </c>
      <c r="BC20" s="6">
        <f t="shared" si="8"/>
        <v>-5</v>
      </c>
    </row>
    <row r="21" spans="1:55" x14ac:dyDescent="0.25">
      <c r="A21" s="3">
        <v>16</v>
      </c>
      <c r="B21" s="8" t="s">
        <v>117</v>
      </c>
      <c r="C21" s="45" t="s">
        <v>299</v>
      </c>
      <c r="D21" s="43"/>
      <c r="E21" s="43"/>
      <c r="F21" s="43" t="s">
        <v>48</v>
      </c>
      <c r="G21" s="43" t="s">
        <v>48</v>
      </c>
      <c r="H21" s="43" t="s">
        <v>299</v>
      </c>
      <c r="I21" s="43"/>
      <c r="J21" s="43" t="s">
        <v>48</v>
      </c>
      <c r="K21" s="43"/>
      <c r="L21" s="43"/>
      <c r="M21" s="43" t="s">
        <v>299</v>
      </c>
      <c r="N21" s="43"/>
      <c r="O21" s="43" t="s">
        <v>48</v>
      </c>
      <c r="P21" s="43"/>
      <c r="Q21" s="43"/>
      <c r="R21" s="43"/>
      <c r="S21" s="85"/>
      <c r="T21" s="43" t="s">
        <v>48</v>
      </c>
      <c r="U21" s="43"/>
      <c r="V21" s="43" t="s">
        <v>48</v>
      </c>
      <c r="W21" s="105">
        <f t="shared" si="0"/>
        <v>6</v>
      </c>
      <c r="X21" s="101">
        <f t="shared" si="1"/>
        <v>0</v>
      </c>
      <c r="Y21" s="101">
        <f t="shared" si="2"/>
        <v>0</v>
      </c>
      <c r="Z21" s="101">
        <f t="shared" si="3"/>
        <v>-4</v>
      </c>
      <c r="AA21" s="101">
        <f t="shared" si="4"/>
        <v>0</v>
      </c>
      <c r="AB21" s="102">
        <f t="shared" si="5"/>
        <v>0</v>
      </c>
      <c r="AC21" s="6" t="s">
        <v>69</v>
      </c>
      <c r="AD21" s="6"/>
      <c r="AF21" s="195">
        <f t="shared" si="9"/>
        <v>6</v>
      </c>
      <c r="AI21" s="6">
        <f t="shared" si="6"/>
        <v>0</v>
      </c>
      <c r="AJ21" s="6">
        <f t="shared" si="6"/>
        <v>0</v>
      </c>
      <c r="AK21" s="6">
        <f t="shared" si="6"/>
        <v>0</v>
      </c>
      <c r="AL21" s="6">
        <f t="shared" si="6"/>
        <v>-1</v>
      </c>
      <c r="AM21" s="6">
        <f t="shared" si="6"/>
        <v>-1</v>
      </c>
      <c r="AN21" s="6">
        <f t="shared" si="6"/>
        <v>0</v>
      </c>
      <c r="AO21" s="6">
        <f t="shared" si="6"/>
        <v>0</v>
      </c>
      <c r="AP21" s="6">
        <f t="shared" si="6"/>
        <v>-1</v>
      </c>
      <c r="AQ21" s="6">
        <f t="shared" si="6"/>
        <v>0</v>
      </c>
      <c r="AR21" s="6">
        <f t="shared" si="6"/>
        <v>0</v>
      </c>
      <c r="AS21" s="6">
        <f t="shared" si="6"/>
        <v>0</v>
      </c>
      <c r="AT21" s="6">
        <f t="shared" si="6"/>
        <v>0</v>
      </c>
      <c r="AU21" s="6">
        <f t="shared" si="6"/>
        <v>-1</v>
      </c>
      <c r="AV21" s="6">
        <f t="shared" si="6"/>
        <v>0</v>
      </c>
      <c r="AW21" s="6">
        <f t="shared" si="6"/>
        <v>0</v>
      </c>
      <c r="AX21" s="6">
        <f t="shared" ref="AX21:AX29" si="10">IF(R$32="ja",0,IF(R21="h",-1,IF(R21="k",0,IF(R21="w",-1,0))))</f>
        <v>0</v>
      </c>
      <c r="AY21" s="6">
        <f t="shared" si="7"/>
        <v>0</v>
      </c>
      <c r="AZ21" s="6">
        <f t="shared" si="7"/>
        <v>0</v>
      </c>
      <c r="BA21" s="6">
        <f t="shared" si="7"/>
        <v>0</v>
      </c>
      <c r="BB21" s="6">
        <f t="shared" si="7"/>
        <v>0</v>
      </c>
      <c r="BC21" s="6">
        <f t="shared" si="8"/>
        <v>-4</v>
      </c>
    </row>
    <row r="22" spans="1:55" x14ac:dyDescent="0.25">
      <c r="A22" s="3">
        <v>17</v>
      </c>
      <c r="B22" s="8" t="s">
        <v>62</v>
      </c>
      <c r="C22" s="9"/>
      <c r="D22" s="43"/>
      <c r="E22" s="43"/>
      <c r="F22" s="43" t="s">
        <v>52</v>
      </c>
      <c r="G22" s="43" t="s">
        <v>52</v>
      </c>
      <c r="H22" s="43"/>
      <c r="I22" s="43"/>
      <c r="J22" s="43" t="s">
        <v>52</v>
      </c>
      <c r="K22" s="43" t="s">
        <v>52</v>
      </c>
      <c r="L22" s="43"/>
      <c r="M22" s="43" t="s">
        <v>52</v>
      </c>
      <c r="N22" s="43"/>
      <c r="O22" s="43" t="s">
        <v>52</v>
      </c>
      <c r="P22" s="43" t="s">
        <v>52</v>
      </c>
      <c r="Q22" s="43" t="s">
        <v>48</v>
      </c>
      <c r="R22" s="43"/>
      <c r="S22" s="85"/>
      <c r="T22" s="43"/>
      <c r="U22" s="43"/>
      <c r="V22" s="43" t="s">
        <v>52</v>
      </c>
      <c r="W22" s="105">
        <f t="shared" si="0"/>
        <v>9</v>
      </c>
      <c r="X22" s="101">
        <f t="shared" si="1"/>
        <v>0</v>
      </c>
      <c r="Y22" s="101">
        <f t="shared" si="2"/>
        <v>0</v>
      </c>
      <c r="Z22" s="101">
        <f t="shared" si="3"/>
        <v>-1</v>
      </c>
      <c r="AA22" s="101">
        <f t="shared" si="4"/>
        <v>8</v>
      </c>
      <c r="AB22" s="102" t="e">
        <f t="shared" si="5"/>
        <v>#DIV/0!</v>
      </c>
      <c r="AC22" s="6"/>
      <c r="AD22" s="6"/>
      <c r="AF22" s="195">
        <f t="shared" si="9"/>
        <v>1</v>
      </c>
      <c r="AI22" s="6">
        <f t="shared" ref="AI22:AW29" si="11">IF(C$32="ja",0,IF(C22="h",-1,IF(C22="k",0,IF(C22="w",-1,0))))</f>
        <v>0</v>
      </c>
      <c r="AJ22" s="6">
        <f t="shared" si="11"/>
        <v>0</v>
      </c>
      <c r="AK22" s="6">
        <f t="shared" si="11"/>
        <v>0</v>
      </c>
      <c r="AL22" s="6">
        <f t="shared" si="11"/>
        <v>0</v>
      </c>
      <c r="AM22" s="6">
        <f t="shared" si="11"/>
        <v>0</v>
      </c>
      <c r="AN22" s="6">
        <f t="shared" si="11"/>
        <v>0</v>
      </c>
      <c r="AO22" s="6">
        <f t="shared" si="11"/>
        <v>0</v>
      </c>
      <c r="AP22" s="6">
        <f t="shared" si="11"/>
        <v>0</v>
      </c>
      <c r="AQ22" s="6">
        <f t="shared" si="11"/>
        <v>0</v>
      </c>
      <c r="AR22" s="6">
        <f t="shared" si="11"/>
        <v>0</v>
      </c>
      <c r="AS22" s="6">
        <f t="shared" si="11"/>
        <v>0</v>
      </c>
      <c r="AT22" s="6">
        <f t="shared" si="11"/>
        <v>0</v>
      </c>
      <c r="AU22" s="6">
        <f t="shared" si="11"/>
        <v>0</v>
      </c>
      <c r="AV22" s="6">
        <f t="shared" si="11"/>
        <v>0</v>
      </c>
      <c r="AW22" s="6">
        <f t="shared" si="11"/>
        <v>-1</v>
      </c>
      <c r="AX22" s="6">
        <f t="shared" si="10"/>
        <v>0</v>
      </c>
      <c r="AY22" s="6">
        <f t="shared" si="7"/>
        <v>0</v>
      </c>
      <c r="AZ22" s="6">
        <f t="shared" si="7"/>
        <v>0</v>
      </c>
      <c r="BA22" s="6">
        <f t="shared" si="7"/>
        <v>0</v>
      </c>
      <c r="BB22" s="6">
        <f t="shared" si="7"/>
        <v>0</v>
      </c>
      <c r="BC22" s="6">
        <f t="shared" si="8"/>
        <v>-1</v>
      </c>
    </row>
    <row r="23" spans="1:55" x14ac:dyDescent="0.25">
      <c r="A23" s="3">
        <v>18</v>
      </c>
      <c r="B23" s="8" t="s">
        <v>125</v>
      </c>
      <c r="C23" s="45"/>
      <c r="D23" s="43" t="s">
        <v>48</v>
      </c>
      <c r="E23" s="43"/>
      <c r="F23" s="43" t="s">
        <v>299</v>
      </c>
      <c r="G23" s="43" t="s">
        <v>299</v>
      </c>
      <c r="H23" s="43"/>
      <c r="I23" s="43" t="s">
        <v>48</v>
      </c>
      <c r="J23" s="43" t="s">
        <v>48</v>
      </c>
      <c r="K23" s="43"/>
      <c r="L23" s="43"/>
      <c r="M23" s="43" t="s">
        <v>48</v>
      </c>
      <c r="N23" s="43"/>
      <c r="O23" s="43"/>
      <c r="P23" s="43"/>
      <c r="Q23" s="43"/>
      <c r="R23" s="43"/>
      <c r="S23" s="85"/>
      <c r="T23" s="43"/>
      <c r="U23" s="43"/>
      <c r="V23" s="43" t="s">
        <v>52</v>
      </c>
      <c r="W23" s="105">
        <f t="shared" si="0"/>
        <v>5</v>
      </c>
      <c r="X23" s="101">
        <f t="shared" si="1"/>
        <v>0</v>
      </c>
      <c r="Y23" s="101">
        <f t="shared" si="2"/>
        <v>0</v>
      </c>
      <c r="Z23" s="101">
        <f t="shared" si="3"/>
        <v>-4</v>
      </c>
      <c r="AA23" s="101">
        <f t="shared" si="4"/>
        <v>1</v>
      </c>
      <c r="AB23" s="102" t="e">
        <f t="shared" si="5"/>
        <v>#DIV/0!</v>
      </c>
      <c r="AC23" s="6"/>
      <c r="AD23" s="6"/>
      <c r="AF23" s="195">
        <f t="shared" si="9"/>
        <v>4</v>
      </c>
      <c r="AI23" s="6">
        <f t="shared" si="11"/>
        <v>0</v>
      </c>
      <c r="AJ23" s="6">
        <f t="shared" si="11"/>
        <v>-1</v>
      </c>
      <c r="AK23" s="6">
        <f t="shared" si="11"/>
        <v>0</v>
      </c>
      <c r="AL23" s="6">
        <f t="shared" si="11"/>
        <v>0</v>
      </c>
      <c r="AM23" s="6">
        <f t="shared" si="11"/>
        <v>0</v>
      </c>
      <c r="AN23" s="6">
        <f t="shared" si="11"/>
        <v>0</v>
      </c>
      <c r="AO23" s="6">
        <f t="shared" si="11"/>
        <v>-1</v>
      </c>
      <c r="AP23" s="6">
        <f t="shared" si="11"/>
        <v>-1</v>
      </c>
      <c r="AQ23" s="6">
        <f t="shared" si="11"/>
        <v>0</v>
      </c>
      <c r="AR23" s="6">
        <f t="shared" si="11"/>
        <v>0</v>
      </c>
      <c r="AS23" s="6">
        <f t="shared" si="11"/>
        <v>-1</v>
      </c>
      <c r="AT23" s="6">
        <f t="shared" si="11"/>
        <v>0</v>
      </c>
      <c r="AU23" s="6">
        <f t="shared" si="11"/>
        <v>0</v>
      </c>
      <c r="AV23" s="6">
        <f t="shared" si="11"/>
        <v>0</v>
      </c>
      <c r="AW23" s="6">
        <f t="shared" si="11"/>
        <v>0</v>
      </c>
      <c r="AX23" s="6">
        <f t="shared" si="10"/>
        <v>0</v>
      </c>
      <c r="AY23" s="6">
        <f t="shared" si="7"/>
        <v>0</v>
      </c>
      <c r="AZ23" s="6">
        <f t="shared" si="7"/>
        <v>0</v>
      </c>
      <c r="BA23" s="6">
        <f t="shared" si="7"/>
        <v>0</v>
      </c>
      <c r="BB23" s="6">
        <f t="shared" si="7"/>
        <v>0</v>
      </c>
      <c r="BC23" s="6">
        <f t="shared" si="8"/>
        <v>-4</v>
      </c>
    </row>
    <row r="24" spans="1:55" x14ac:dyDescent="0.25">
      <c r="A24" s="3">
        <v>19</v>
      </c>
      <c r="B24" s="8" t="s">
        <v>120</v>
      </c>
      <c r="C24" s="45" t="s">
        <v>299</v>
      </c>
      <c r="D24" s="43"/>
      <c r="E24" s="43"/>
      <c r="F24" s="43"/>
      <c r="G24" s="43"/>
      <c r="H24" s="43"/>
      <c r="I24" s="43"/>
      <c r="J24" s="43"/>
      <c r="K24" s="43"/>
      <c r="L24" s="43"/>
      <c r="M24" s="43" t="s">
        <v>299</v>
      </c>
      <c r="N24" s="43" t="s">
        <v>299</v>
      </c>
      <c r="O24" s="43" t="s">
        <v>299</v>
      </c>
      <c r="P24" s="43"/>
      <c r="Q24" s="43"/>
      <c r="R24" s="43"/>
      <c r="S24" s="85"/>
      <c r="T24" s="43" t="s">
        <v>48</v>
      </c>
      <c r="U24" s="43" t="s">
        <v>48</v>
      </c>
      <c r="V24" s="43" t="s">
        <v>48</v>
      </c>
      <c r="W24" s="105">
        <f t="shared" si="0"/>
        <v>3</v>
      </c>
      <c r="X24" s="101">
        <f t="shared" si="1"/>
        <v>0</v>
      </c>
      <c r="Y24" s="101">
        <f t="shared" si="2"/>
        <v>0</v>
      </c>
      <c r="Z24" s="101">
        <f t="shared" si="3"/>
        <v>-1</v>
      </c>
      <c r="AA24" s="101">
        <f t="shared" si="4"/>
        <v>0</v>
      </c>
      <c r="AB24" s="102">
        <f t="shared" si="5"/>
        <v>0</v>
      </c>
      <c r="AC24" s="6"/>
      <c r="AD24" s="6"/>
      <c r="AF24" s="195">
        <f t="shared" si="9"/>
        <v>3</v>
      </c>
      <c r="AI24" s="6">
        <f t="shared" si="11"/>
        <v>0</v>
      </c>
      <c r="AJ24" s="6">
        <f t="shared" si="11"/>
        <v>0</v>
      </c>
      <c r="AK24" s="6">
        <f t="shared" si="11"/>
        <v>0</v>
      </c>
      <c r="AL24" s="6">
        <f t="shared" si="11"/>
        <v>0</v>
      </c>
      <c r="AM24" s="6">
        <f t="shared" si="11"/>
        <v>0</v>
      </c>
      <c r="AN24" s="6">
        <f t="shared" si="11"/>
        <v>0</v>
      </c>
      <c r="AO24" s="6">
        <f t="shared" si="11"/>
        <v>0</v>
      </c>
      <c r="AP24" s="6">
        <f t="shared" si="11"/>
        <v>0</v>
      </c>
      <c r="AQ24" s="6">
        <f t="shared" si="11"/>
        <v>0</v>
      </c>
      <c r="AR24" s="6">
        <f t="shared" si="11"/>
        <v>0</v>
      </c>
      <c r="AS24" s="6">
        <f t="shared" si="11"/>
        <v>0</v>
      </c>
      <c r="AT24" s="6">
        <f t="shared" si="11"/>
        <v>0</v>
      </c>
      <c r="AU24" s="6">
        <f t="shared" si="11"/>
        <v>0</v>
      </c>
      <c r="AV24" s="6">
        <f t="shared" si="11"/>
        <v>0</v>
      </c>
      <c r="AW24" s="6">
        <f t="shared" si="11"/>
        <v>0</v>
      </c>
      <c r="AX24" s="6">
        <f t="shared" si="10"/>
        <v>0</v>
      </c>
      <c r="AY24" s="6">
        <f t="shared" si="7"/>
        <v>0</v>
      </c>
      <c r="AZ24" s="6">
        <f t="shared" si="7"/>
        <v>0</v>
      </c>
      <c r="BA24" s="6">
        <f t="shared" si="7"/>
        <v>-1</v>
      </c>
      <c r="BB24" s="6">
        <f t="shared" si="7"/>
        <v>0</v>
      </c>
      <c r="BC24" s="6">
        <f t="shared" si="8"/>
        <v>-1</v>
      </c>
    </row>
    <row r="25" spans="1:55" x14ac:dyDescent="0.25">
      <c r="A25" s="3">
        <v>20</v>
      </c>
      <c r="B25" s="8" t="s">
        <v>82</v>
      </c>
      <c r="C25" s="45"/>
      <c r="D25" s="43"/>
      <c r="E25" s="43"/>
      <c r="F25" s="43" t="s">
        <v>299</v>
      </c>
      <c r="G25" s="43" t="s">
        <v>299</v>
      </c>
      <c r="H25" s="43"/>
      <c r="I25" s="43" t="s">
        <v>299</v>
      </c>
      <c r="J25" s="43" t="s">
        <v>299</v>
      </c>
      <c r="K25" s="43" t="s">
        <v>299</v>
      </c>
      <c r="L25" s="43"/>
      <c r="M25" s="43"/>
      <c r="N25" s="43"/>
      <c r="O25" s="43"/>
      <c r="P25" s="43"/>
      <c r="Q25" s="43"/>
      <c r="R25" s="43"/>
      <c r="S25" s="85"/>
      <c r="T25" s="43"/>
      <c r="U25" s="43"/>
      <c r="V25" s="43"/>
      <c r="W25" s="105">
        <f t="shared" si="0"/>
        <v>0</v>
      </c>
      <c r="X25" s="101">
        <f t="shared" si="1"/>
        <v>0</v>
      </c>
      <c r="Y25" s="101">
        <f t="shared" si="2"/>
        <v>0</v>
      </c>
      <c r="Z25" s="101">
        <f t="shared" si="3"/>
        <v>0</v>
      </c>
      <c r="AA25" s="101">
        <f t="shared" si="4"/>
        <v>0</v>
      </c>
      <c r="AB25" s="102" t="e">
        <f t="shared" si="5"/>
        <v>#DIV/0!</v>
      </c>
      <c r="AC25" s="6"/>
      <c r="AD25" s="6"/>
      <c r="AF25" s="195">
        <f t="shared" si="9"/>
        <v>0</v>
      </c>
      <c r="AI25" s="6">
        <f t="shared" si="11"/>
        <v>0</v>
      </c>
      <c r="AJ25" s="6">
        <f t="shared" si="11"/>
        <v>0</v>
      </c>
      <c r="AK25" s="6">
        <f t="shared" si="11"/>
        <v>0</v>
      </c>
      <c r="AL25" s="6">
        <f t="shared" si="11"/>
        <v>0</v>
      </c>
      <c r="AM25" s="6">
        <f t="shared" si="11"/>
        <v>0</v>
      </c>
      <c r="AN25" s="6">
        <f t="shared" si="11"/>
        <v>0</v>
      </c>
      <c r="AO25" s="6">
        <f t="shared" si="11"/>
        <v>0</v>
      </c>
      <c r="AP25" s="6">
        <f t="shared" si="11"/>
        <v>0</v>
      </c>
      <c r="AQ25" s="6">
        <f t="shared" si="11"/>
        <v>0</v>
      </c>
      <c r="AR25" s="6">
        <f t="shared" si="11"/>
        <v>0</v>
      </c>
      <c r="AS25" s="6">
        <f t="shared" si="11"/>
        <v>0</v>
      </c>
      <c r="AT25" s="6">
        <f t="shared" si="11"/>
        <v>0</v>
      </c>
      <c r="AU25" s="6">
        <f t="shared" si="11"/>
        <v>0</v>
      </c>
      <c r="AV25" s="6">
        <f t="shared" si="11"/>
        <v>0</v>
      </c>
      <c r="AW25" s="6">
        <f t="shared" si="11"/>
        <v>0</v>
      </c>
      <c r="AX25" s="6">
        <f t="shared" si="10"/>
        <v>0</v>
      </c>
      <c r="AY25" s="6">
        <f t="shared" si="7"/>
        <v>0</v>
      </c>
      <c r="AZ25" s="6">
        <f t="shared" si="7"/>
        <v>0</v>
      </c>
      <c r="BA25" s="6">
        <f t="shared" si="7"/>
        <v>0</v>
      </c>
      <c r="BB25" s="6">
        <f t="shared" si="7"/>
        <v>0</v>
      </c>
      <c r="BC25" s="6">
        <f t="shared" si="8"/>
        <v>0</v>
      </c>
    </row>
    <row r="26" spans="1:55" x14ac:dyDescent="0.25">
      <c r="A26" s="3">
        <v>21</v>
      </c>
      <c r="B26" s="8" t="s">
        <v>57</v>
      </c>
      <c r="C26" s="45"/>
      <c r="D26" s="43"/>
      <c r="E26" s="43"/>
      <c r="F26" s="43" t="s">
        <v>299</v>
      </c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 t="s">
        <v>48</v>
      </c>
      <c r="R26" s="43"/>
      <c r="S26" s="85"/>
      <c r="T26" s="43" t="s">
        <v>48</v>
      </c>
      <c r="U26" s="43" t="s">
        <v>52</v>
      </c>
      <c r="V26" s="43"/>
      <c r="W26" s="105">
        <f t="shared" si="0"/>
        <v>3</v>
      </c>
      <c r="X26" s="101">
        <f t="shared" si="1"/>
        <v>0</v>
      </c>
      <c r="Y26" s="101">
        <f t="shared" si="2"/>
        <v>0</v>
      </c>
      <c r="Z26" s="101">
        <f t="shared" si="3"/>
        <v>-1</v>
      </c>
      <c r="AA26" s="101">
        <f t="shared" si="4"/>
        <v>1</v>
      </c>
      <c r="AB26" s="102">
        <f t="shared" si="5"/>
        <v>0</v>
      </c>
      <c r="AC26" s="6"/>
      <c r="AD26" s="6"/>
      <c r="AF26" s="195">
        <f t="shared" si="9"/>
        <v>2</v>
      </c>
      <c r="AI26" s="6">
        <f t="shared" si="11"/>
        <v>0</v>
      </c>
      <c r="AJ26" s="6">
        <f t="shared" si="11"/>
        <v>0</v>
      </c>
      <c r="AK26" s="6">
        <f t="shared" si="11"/>
        <v>0</v>
      </c>
      <c r="AL26" s="6">
        <f t="shared" si="11"/>
        <v>0</v>
      </c>
      <c r="AM26" s="6">
        <f t="shared" si="11"/>
        <v>0</v>
      </c>
      <c r="AN26" s="6">
        <f t="shared" si="11"/>
        <v>0</v>
      </c>
      <c r="AO26" s="6">
        <f t="shared" si="11"/>
        <v>0</v>
      </c>
      <c r="AP26" s="6">
        <f t="shared" si="11"/>
        <v>0</v>
      </c>
      <c r="AQ26" s="6">
        <f t="shared" si="11"/>
        <v>0</v>
      </c>
      <c r="AR26" s="6">
        <f t="shared" si="11"/>
        <v>0</v>
      </c>
      <c r="AS26" s="6">
        <f t="shared" si="11"/>
        <v>0</v>
      </c>
      <c r="AT26" s="6">
        <f t="shared" si="11"/>
        <v>0</v>
      </c>
      <c r="AU26" s="6">
        <f t="shared" si="11"/>
        <v>0</v>
      </c>
      <c r="AV26" s="6">
        <f t="shared" si="11"/>
        <v>0</v>
      </c>
      <c r="AW26" s="6">
        <f t="shared" si="11"/>
        <v>-1</v>
      </c>
      <c r="AX26" s="6">
        <f t="shared" si="10"/>
        <v>0</v>
      </c>
      <c r="AY26" s="6">
        <f t="shared" si="7"/>
        <v>0</v>
      </c>
      <c r="AZ26" s="6">
        <f t="shared" si="7"/>
        <v>0</v>
      </c>
      <c r="BA26" s="6">
        <f t="shared" si="7"/>
        <v>0</v>
      </c>
      <c r="BB26" s="6">
        <f t="shared" si="7"/>
        <v>0</v>
      </c>
      <c r="BC26" s="6">
        <f t="shared" si="8"/>
        <v>-1</v>
      </c>
    </row>
    <row r="27" spans="1:55" x14ac:dyDescent="0.25">
      <c r="A27" s="3">
        <v>22</v>
      </c>
      <c r="B27" s="8" t="s">
        <v>130</v>
      </c>
      <c r="C27" s="45"/>
      <c r="D27" s="43"/>
      <c r="E27" s="43" t="s">
        <v>48</v>
      </c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85"/>
      <c r="T27" s="43"/>
      <c r="U27" s="43"/>
      <c r="V27" s="43"/>
      <c r="W27" s="105">
        <f t="shared" si="0"/>
        <v>1</v>
      </c>
      <c r="X27" s="101">
        <f t="shared" si="1"/>
        <v>0</v>
      </c>
      <c r="Y27" s="101">
        <f t="shared" si="2"/>
        <v>0</v>
      </c>
      <c r="Z27" s="101">
        <f t="shared" si="3"/>
        <v>-1</v>
      </c>
      <c r="AA27" s="101">
        <f t="shared" si="4"/>
        <v>0</v>
      </c>
      <c r="AB27" s="102" t="e">
        <f t="shared" si="5"/>
        <v>#DIV/0!</v>
      </c>
      <c r="AC27" s="6"/>
      <c r="AD27" s="6"/>
      <c r="AF27" s="195">
        <f t="shared" si="9"/>
        <v>1</v>
      </c>
      <c r="AI27" s="6">
        <f t="shared" si="11"/>
        <v>0</v>
      </c>
      <c r="AJ27" s="6">
        <f t="shared" si="11"/>
        <v>0</v>
      </c>
      <c r="AK27" s="6">
        <f t="shared" si="11"/>
        <v>-1</v>
      </c>
      <c r="AL27" s="6">
        <f t="shared" si="11"/>
        <v>0</v>
      </c>
      <c r="AM27" s="6">
        <f t="shared" si="11"/>
        <v>0</v>
      </c>
      <c r="AN27" s="6">
        <f t="shared" si="11"/>
        <v>0</v>
      </c>
      <c r="AO27" s="6">
        <f t="shared" si="11"/>
        <v>0</v>
      </c>
      <c r="AP27" s="6">
        <f t="shared" si="11"/>
        <v>0</v>
      </c>
      <c r="AQ27" s="6">
        <f t="shared" si="11"/>
        <v>0</v>
      </c>
      <c r="AR27" s="6">
        <f t="shared" si="11"/>
        <v>0</v>
      </c>
      <c r="AS27" s="6">
        <f t="shared" si="11"/>
        <v>0</v>
      </c>
      <c r="AT27" s="6">
        <f t="shared" si="11"/>
        <v>0</v>
      </c>
      <c r="AU27" s="6">
        <f t="shared" si="11"/>
        <v>0</v>
      </c>
      <c r="AV27" s="6">
        <f t="shared" si="11"/>
        <v>0</v>
      </c>
      <c r="AW27" s="6">
        <f t="shared" si="11"/>
        <v>0</v>
      </c>
      <c r="AX27" s="6">
        <f t="shared" si="10"/>
        <v>0</v>
      </c>
      <c r="AY27" s="6">
        <f t="shared" si="7"/>
        <v>0</v>
      </c>
      <c r="AZ27" s="6">
        <f t="shared" si="7"/>
        <v>0</v>
      </c>
      <c r="BA27" s="6">
        <f t="shared" si="7"/>
        <v>0</v>
      </c>
      <c r="BB27" s="6">
        <f t="shared" si="7"/>
        <v>0</v>
      </c>
      <c r="BC27" s="6">
        <f t="shared" si="8"/>
        <v>-1</v>
      </c>
    </row>
    <row r="28" spans="1:55" x14ac:dyDescent="0.25">
      <c r="A28" s="3">
        <v>23</v>
      </c>
      <c r="B28" s="8" t="s">
        <v>119</v>
      </c>
      <c r="C28" s="45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85"/>
      <c r="T28" s="43"/>
      <c r="U28" s="43"/>
      <c r="V28" s="43"/>
      <c r="W28" s="105">
        <f t="shared" si="0"/>
        <v>0</v>
      </c>
      <c r="X28" s="101">
        <f t="shared" si="1"/>
        <v>0</v>
      </c>
      <c r="Y28" s="101">
        <f t="shared" si="2"/>
        <v>0</v>
      </c>
      <c r="Z28" s="101">
        <f t="shared" si="3"/>
        <v>0</v>
      </c>
      <c r="AA28" s="101">
        <f t="shared" si="4"/>
        <v>0</v>
      </c>
      <c r="AB28" s="102" t="e">
        <f t="shared" si="5"/>
        <v>#DIV/0!</v>
      </c>
      <c r="AC28" s="6"/>
      <c r="AD28" s="6"/>
      <c r="AI28" s="6">
        <f t="shared" si="11"/>
        <v>0</v>
      </c>
      <c r="AJ28" s="6">
        <f t="shared" si="11"/>
        <v>0</v>
      </c>
      <c r="AK28" s="6">
        <f t="shared" si="11"/>
        <v>0</v>
      </c>
      <c r="AL28" s="6">
        <f t="shared" si="11"/>
        <v>0</v>
      </c>
      <c r="AM28" s="6">
        <f t="shared" si="11"/>
        <v>0</v>
      </c>
      <c r="AN28" s="6">
        <f t="shared" si="11"/>
        <v>0</v>
      </c>
      <c r="AO28" s="6">
        <f t="shared" si="11"/>
        <v>0</v>
      </c>
      <c r="AP28" s="6">
        <f t="shared" si="11"/>
        <v>0</v>
      </c>
      <c r="AQ28" s="6">
        <f t="shared" si="11"/>
        <v>0</v>
      </c>
      <c r="AR28" s="6">
        <f t="shared" si="11"/>
        <v>0</v>
      </c>
      <c r="AS28" s="6">
        <f t="shared" si="11"/>
        <v>0</v>
      </c>
      <c r="AT28" s="6">
        <f t="shared" si="11"/>
        <v>0</v>
      </c>
      <c r="AU28" s="6">
        <f t="shared" si="11"/>
        <v>0</v>
      </c>
      <c r="AV28" s="6">
        <f t="shared" si="11"/>
        <v>0</v>
      </c>
      <c r="AW28" s="6">
        <f t="shared" si="11"/>
        <v>0</v>
      </c>
      <c r="AX28" s="6">
        <f t="shared" si="10"/>
        <v>0</v>
      </c>
      <c r="AY28" s="6">
        <f t="shared" si="7"/>
        <v>0</v>
      </c>
      <c r="AZ28" s="6">
        <f t="shared" si="7"/>
        <v>0</v>
      </c>
      <c r="BA28" s="6">
        <f t="shared" si="7"/>
        <v>0</v>
      </c>
      <c r="BB28" s="6">
        <f t="shared" si="7"/>
        <v>0</v>
      </c>
      <c r="BC28" s="6">
        <f t="shared" si="8"/>
        <v>0</v>
      </c>
    </row>
    <row r="29" spans="1:55" x14ac:dyDescent="0.25">
      <c r="A29" s="3">
        <v>24</v>
      </c>
      <c r="B29" s="8" t="s">
        <v>126</v>
      </c>
      <c r="C29" s="45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85"/>
      <c r="T29" s="43"/>
      <c r="U29" s="43"/>
      <c r="V29" s="43"/>
      <c r="W29" s="105">
        <f t="shared" si="0"/>
        <v>0</v>
      </c>
      <c r="X29" s="101">
        <f t="shared" si="1"/>
        <v>0</v>
      </c>
      <c r="Y29" s="101">
        <f t="shared" si="2"/>
        <v>0</v>
      </c>
      <c r="Z29" s="101">
        <f t="shared" si="3"/>
        <v>0</v>
      </c>
      <c r="AA29" s="101">
        <f t="shared" si="4"/>
        <v>0</v>
      </c>
      <c r="AB29" s="102" t="e">
        <f t="shared" si="5"/>
        <v>#DIV/0!</v>
      </c>
      <c r="AC29" s="6"/>
      <c r="AD29" s="6"/>
      <c r="AI29" s="6">
        <f t="shared" si="11"/>
        <v>0</v>
      </c>
      <c r="AJ29" s="6">
        <f t="shared" si="11"/>
        <v>0</v>
      </c>
      <c r="AK29" s="6">
        <f t="shared" si="11"/>
        <v>0</v>
      </c>
      <c r="AL29" s="6">
        <f t="shared" si="11"/>
        <v>0</v>
      </c>
      <c r="AM29" s="6">
        <f t="shared" si="11"/>
        <v>0</v>
      </c>
      <c r="AN29" s="6">
        <f t="shared" si="11"/>
        <v>0</v>
      </c>
      <c r="AO29" s="6">
        <f t="shared" si="11"/>
        <v>0</v>
      </c>
      <c r="AP29" s="6">
        <f t="shared" si="11"/>
        <v>0</v>
      </c>
      <c r="AQ29" s="6">
        <f t="shared" si="11"/>
        <v>0</v>
      </c>
      <c r="AR29" s="6">
        <f t="shared" si="11"/>
        <v>0</v>
      </c>
      <c r="AS29" s="6">
        <f t="shared" si="11"/>
        <v>0</v>
      </c>
      <c r="AT29" s="6">
        <f t="shared" si="11"/>
        <v>0</v>
      </c>
      <c r="AU29" s="6">
        <f t="shared" si="11"/>
        <v>0</v>
      </c>
      <c r="AV29" s="6">
        <f t="shared" si="11"/>
        <v>0</v>
      </c>
      <c r="AW29" s="6">
        <f t="shared" si="11"/>
        <v>0</v>
      </c>
      <c r="AX29" s="6">
        <f t="shared" si="10"/>
        <v>0</v>
      </c>
      <c r="AY29" s="6">
        <f t="shared" si="7"/>
        <v>0</v>
      </c>
      <c r="AZ29" s="6">
        <f t="shared" si="7"/>
        <v>0</v>
      </c>
      <c r="BA29" s="6">
        <f t="shared" si="7"/>
        <v>0</v>
      </c>
      <c r="BB29" s="6">
        <f t="shared" si="7"/>
        <v>0</v>
      </c>
      <c r="BC29" s="6">
        <f t="shared" si="8"/>
        <v>0</v>
      </c>
    </row>
    <row r="30" spans="1:55" x14ac:dyDescent="0.25">
      <c r="A30" s="3"/>
      <c r="B30" s="7"/>
      <c r="C30" s="43">
        <f t="shared" ref="C30:V30" si="12">SUM(COUNTIF(C6:C29,"h"),COUNTIF(C6:C29,"w"),COUNTIF(C6:C29,"k"))</f>
        <v>7</v>
      </c>
      <c r="D30" s="43">
        <f t="shared" si="12"/>
        <v>8</v>
      </c>
      <c r="E30" s="43">
        <f t="shared" si="12"/>
        <v>9</v>
      </c>
      <c r="F30" s="43">
        <f t="shared" si="12"/>
        <v>8</v>
      </c>
      <c r="G30" s="43">
        <f t="shared" si="12"/>
        <v>9</v>
      </c>
      <c r="H30" s="43">
        <f t="shared" si="12"/>
        <v>8</v>
      </c>
      <c r="I30" s="43">
        <f t="shared" si="12"/>
        <v>8</v>
      </c>
      <c r="J30" s="43">
        <f t="shared" si="12"/>
        <v>8</v>
      </c>
      <c r="K30" s="43">
        <f t="shared" si="12"/>
        <v>10</v>
      </c>
      <c r="L30" s="43">
        <f t="shared" si="12"/>
        <v>0</v>
      </c>
      <c r="M30" s="43">
        <f t="shared" si="12"/>
        <v>7</v>
      </c>
      <c r="N30" s="43">
        <f t="shared" si="12"/>
        <v>9</v>
      </c>
      <c r="O30" s="43">
        <f t="shared" si="12"/>
        <v>7</v>
      </c>
      <c r="P30" s="43">
        <f t="shared" si="12"/>
        <v>9</v>
      </c>
      <c r="Q30" s="43">
        <f t="shared" si="12"/>
        <v>10</v>
      </c>
      <c r="R30" s="43">
        <f t="shared" si="12"/>
        <v>0</v>
      </c>
      <c r="S30" s="43">
        <f t="shared" si="12"/>
        <v>11</v>
      </c>
      <c r="T30" s="43">
        <f t="shared" si="12"/>
        <v>11</v>
      </c>
      <c r="U30" s="43">
        <f t="shared" si="12"/>
        <v>9</v>
      </c>
      <c r="V30" s="43">
        <f t="shared" si="12"/>
        <v>11</v>
      </c>
      <c r="W30" s="105">
        <f>SUM(COUNTIF(C30:V30,"h"),COUNTIF(C30:V30,"w"),COUNTIF(C30:V30,"k"))</f>
        <v>0</v>
      </c>
      <c r="X30" s="142" t="s">
        <v>192</v>
      </c>
      <c r="Y30" s="142"/>
      <c r="Z30" s="101">
        <f t="shared" si="3"/>
        <v>0</v>
      </c>
      <c r="AA30" s="133"/>
      <c r="AB30" s="90"/>
      <c r="AC30" s="6"/>
      <c r="AD30" s="6"/>
      <c r="AE30" s="65" t="s">
        <v>84</v>
      </c>
      <c r="AF30" s="195">
        <f>SUM(AF6:AF27)</f>
        <v>159</v>
      </c>
    </row>
    <row r="31" spans="1:55" x14ac:dyDescent="0.25">
      <c r="A31" s="7"/>
      <c r="X31" s="143"/>
      <c r="Y31" s="143"/>
      <c r="Z31" s="101">
        <f t="shared" si="3"/>
        <v>0</v>
      </c>
      <c r="AA31" s="133"/>
      <c r="AB31" s="91"/>
      <c r="AC31" s="6"/>
      <c r="AD31" s="6"/>
      <c r="AE31" s="6"/>
    </row>
    <row r="32" spans="1:55" x14ac:dyDescent="0.25">
      <c r="A32" s="7"/>
      <c r="B32" s="7" t="s">
        <v>83</v>
      </c>
      <c r="C32" s="134" t="str">
        <f t="shared" ref="C32:V32" si="13">IF(C30&gt;10,"ja","nee")</f>
        <v>nee</v>
      </c>
      <c r="D32" s="134" t="str">
        <f t="shared" si="13"/>
        <v>nee</v>
      </c>
      <c r="E32" s="134" t="str">
        <f t="shared" si="13"/>
        <v>nee</v>
      </c>
      <c r="F32" s="134" t="str">
        <f t="shared" si="13"/>
        <v>nee</v>
      </c>
      <c r="G32" s="134" t="str">
        <f t="shared" si="13"/>
        <v>nee</v>
      </c>
      <c r="H32" s="134" t="str">
        <f t="shared" si="13"/>
        <v>nee</v>
      </c>
      <c r="I32" s="134" t="str">
        <f t="shared" si="13"/>
        <v>nee</v>
      </c>
      <c r="J32" s="134" t="str">
        <f t="shared" si="13"/>
        <v>nee</v>
      </c>
      <c r="K32" s="134" t="str">
        <f t="shared" si="13"/>
        <v>nee</v>
      </c>
      <c r="L32" s="134" t="str">
        <f t="shared" si="13"/>
        <v>nee</v>
      </c>
      <c r="M32" s="134" t="str">
        <f t="shared" si="13"/>
        <v>nee</v>
      </c>
      <c r="N32" s="134" t="str">
        <f t="shared" si="13"/>
        <v>nee</v>
      </c>
      <c r="O32" s="134" t="str">
        <f t="shared" si="13"/>
        <v>nee</v>
      </c>
      <c r="P32" s="134" t="str">
        <f t="shared" si="13"/>
        <v>nee</v>
      </c>
      <c r="Q32" s="134" t="str">
        <f t="shared" si="13"/>
        <v>nee</v>
      </c>
      <c r="R32" s="134" t="str">
        <f t="shared" si="13"/>
        <v>nee</v>
      </c>
      <c r="S32" s="134" t="str">
        <f t="shared" si="13"/>
        <v>ja</v>
      </c>
      <c r="T32" s="134" t="str">
        <f t="shared" si="13"/>
        <v>ja</v>
      </c>
      <c r="U32" s="134" t="str">
        <f t="shared" si="13"/>
        <v>nee</v>
      </c>
      <c r="V32" s="134" t="str">
        <f t="shared" si="13"/>
        <v>ja</v>
      </c>
      <c r="W32" s="105">
        <f>SUM(W6:W29)</f>
        <v>181</v>
      </c>
      <c r="X32" s="6"/>
      <c r="Y32" s="6"/>
      <c r="Z32" s="101">
        <f t="shared" si="3"/>
        <v>0</v>
      </c>
      <c r="AA32" s="133"/>
      <c r="AB32" s="6"/>
      <c r="AC32" s="6"/>
      <c r="AD32" s="6"/>
      <c r="AE32" s="6"/>
    </row>
    <row r="33" spans="1:23" x14ac:dyDescent="0.25">
      <c r="A33" s="7"/>
      <c r="B33" s="7"/>
      <c r="C33" s="7"/>
      <c r="D33" s="7"/>
      <c r="E33" s="19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6"/>
      <c r="T33" s="6"/>
      <c r="U33" s="6"/>
      <c r="V33" s="6"/>
      <c r="W33" s="6"/>
    </row>
    <row r="34" spans="1:23" x14ac:dyDescent="0.25">
      <c r="A34" s="7"/>
      <c r="C34" s="7"/>
      <c r="D34" s="7"/>
      <c r="E34" s="19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6"/>
      <c r="T34" s="6"/>
      <c r="U34" s="6"/>
      <c r="V34" s="6"/>
      <c r="W34" s="6"/>
    </row>
    <row r="35" spans="1:23" x14ac:dyDescent="0.25">
      <c r="A35" s="7"/>
      <c r="B35" s="19"/>
      <c r="C35" s="7"/>
      <c r="D35" s="7"/>
      <c r="E35" s="19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6"/>
      <c r="T35" s="6"/>
      <c r="U35" s="6"/>
      <c r="V35" s="6"/>
      <c r="W35" s="6"/>
    </row>
    <row r="36" spans="1:23" x14ac:dyDescent="0.25">
      <c r="A36" s="7"/>
      <c r="B36" s="21" t="s">
        <v>87</v>
      </c>
      <c r="C36" s="20">
        <v>7</v>
      </c>
      <c r="D36" s="7"/>
      <c r="E36" s="19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6"/>
      <c r="T36" s="6"/>
      <c r="U36" s="6"/>
      <c r="V36" s="6"/>
      <c r="W36" s="6"/>
    </row>
    <row r="37" spans="1:23" x14ac:dyDescent="0.25">
      <c r="A37" s="7"/>
      <c r="B37" s="22" t="s">
        <v>88</v>
      </c>
      <c r="C37" s="20">
        <v>9</v>
      </c>
      <c r="D37" s="7"/>
      <c r="E37" s="19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6"/>
      <c r="T37" s="6"/>
      <c r="U37" s="6"/>
      <c r="V37" s="6"/>
      <c r="W37" s="6"/>
    </row>
    <row r="38" spans="1:23" ht="13.8" thickBot="1" x14ac:dyDescent="0.3">
      <c r="A38" s="7"/>
      <c r="B38" s="15" t="s">
        <v>90</v>
      </c>
      <c r="C38" s="23">
        <v>2</v>
      </c>
      <c r="D38" s="7"/>
      <c r="E38" s="19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6"/>
      <c r="T38" s="6"/>
      <c r="U38" s="6"/>
      <c r="V38" s="6"/>
      <c r="W38" s="6"/>
    </row>
    <row r="39" spans="1:23" ht="13.8" thickBot="1" x14ac:dyDescent="0.3">
      <c r="A39" s="7"/>
      <c r="B39" s="7"/>
      <c r="C39" s="24">
        <f>SUM(C36:C38)</f>
        <v>18</v>
      </c>
      <c r="D39" s="7"/>
      <c r="E39" s="19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6"/>
      <c r="T39" s="6"/>
      <c r="U39" s="6"/>
      <c r="V39" s="6"/>
      <c r="W39" s="6"/>
    </row>
    <row r="40" spans="1:23" x14ac:dyDescent="0.25">
      <c r="A40" s="7"/>
      <c r="B40" s="7"/>
      <c r="C40" s="7"/>
      <c r="D40" s="7"/>
      <c r="E40" s="19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6"/>
      <c r="T40" s="6"/>
      <c r="U40" s="6"/>
      <c r="V40" s="6"/>
      <c r="W40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A7390-EDE6-4A48-AE9E-A648AA5FF3A7}">
  <dimension ref="A1:BC53"/>
  <sheetViews>
    <sheetView zoomScale="70" zoomScaleNormal="70" workbookViewId="0">
      <selection activeCell="C7" sqref="C7:L30"/>
    </sheetView>
  </sheetViews>
  <sheetFormatPr defaultRowHeight="13.2" x14ac:dyDescent="0.25"/>
  <cols>
    <col min="2" max="2" width="24.109375" customWidth="1"/>
  </cols>
  <sheetData>
    <row r="1" spans="1:55" x14ac:dyDescent="0.25">
      <c r="C1" t="s">
        <v>50</v>
      </c>
      <c r="D1" t="s">
        <v>50</v>
      </c>
      <c r="E1" t="s">
        <v>298</v>
      </c>
      <c r="G1" t="s">
        <v>50</v>
      </c>
    </row>
    <row r="2" spans="1:55" x14ac:dyDescent="0.25">
      <c r="C2" t="s">
        <v>295</v>
      </c>
      <c r="D2" t="s">
        <v>52</v>
      </c>
      <c r="E2" t="s">
        <v>295</v>
      </c>
      <c r="G2" t="s">
        <v>52</v>
      </c>
    </row>
    <row r="3" spans="1:55" ht="50.4" customHeight="1" x14ac:dyDescent="0.25">
      <c r="A3" s="3"/>
      <c r="B3" s="4"/>
      <c r="C3" s="62" t="s">
        <v>158</v>
      </c>
      <c r="D3" s="62" t="s">
        <v>7</v>
      </c>
      <c r="E3" s="63" t="s">
        <v>11</v>
      </c>
      <c r="F3" s="147" t="s">
        <v>228</v>
      </c>
      <c r="G3" s="62" t="s">
        <v>199</v>
      </c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5"/>
      <c r="X3" s="6"/>
      <c r="Y3" s="6"/>
      <c r="Z3" s="6"/>
      <c r="AA3" s="6"/>
      <c r="AB3" s="6"/>
      <c r="AC3" s="6"/>
      <c r="AD3" s="6"/>
      <c r="AE3" s="6"/>
    </row>
    <row r="4" spans="1:55" ht="103.8" x14ac:dyDescent="0.25">
      <c r="A4" s="3"/>
      <c r="B4" s="7"/>
      <c r="C4" s="79" t="s">
        <v>229</v>
      </c>
      <c r="D4" s="80" t="s">
        <v>230</v>
      </c>
      <c r="E4" s="79" t="s">
        <v>231</v>
      </c>
      <c r="F4" s="80" t="s">
        <v>232</v>
      </c>
      <c r="G4" s="80" t="s">
        <v>233</v>
      </c>
      <c r="H4" s="79" t="s">
        <v>234</v>
      </c>
      <c r="I4" s="80" t="s">
        <v>201</v>
      </c>
      <c r="J4" s="80" t="s">
        <v>234</v>
      </c>
      <c r="K4" s="79" t="s">
        <v>235</v>
      </c>
      <c r="L4" s="80" t="s">
        <v>236</v>
      </c>
      <c r="M4" s="79" t="s">
        <v>237</v>
      </c>
      <c r="N4" s="80" t="s">
        <v>229</v>
      </c>
      <c r="O4" s="79" t="s">
        <v>230</v>
      </c>
      <c r="P4" s="80" t="s">
        <v>231</v>
      </c>
      <c r="Q4" s="79" t="s">
        <v>232</v>
      </c>
      <c r="R4" s="79" t="s">
        <v>233</v>
      </c>
      <c r="S4" s="79" t="s">
        <v>201</v>
      </c>
      <c r="T4" s="80" t="s">
        <v>235</v>
      </c>
      <c r="U4" s="79" t="s">
        <v>238</v>
      </c>
      <c r="V4" s="80" t="s">
        <v>237</v>
      </c>
      <c r="X4" s="100" t="s">
        <v>29</v>
      </c>
      <c r="Y4" s="100" t="s">
        <v>30</v>
      </c>
      <c r="Z4" s="100" t="s">
        <v>31</v>
      </c>
      <c r="AA4" s="100" t="s">
        <v>32</v>
      </c>
      <c r="AB4" s="100" t="s">
        <v>33</v>
      </c>
      <c r="AG4" s="100" t="s">
        <v>34</v>
      </c>
      <c r="AI4" s="79" t="s">
        <v>222</v>
      </c>
      <c r="AJ4" s="80" t="s">
        <v>201</v>
      </c>
      <c r="AK4" s="79" t="s">
        <v>200</v>
      </c>
      <c r="AL4" s="80" t="s">
        <v>223</v>
      </c>
      <c r="AM4" s="79" t="s">
        <v>224</v>
      </c>
      <c r="AN4" s="80" t="s">
        <v>225</v>
      </c>
      <c r="AO4" s="79" t="s">
        <v>226</v>
      </c>
      <c r="AP4" s="80" t="s">
        <v>160</v>
      </c>
      <c r="AQ4" s="79" t="s">
        <v>207</v>
      </c>
      <c r="AR4" s="80" t="s">
        <v>226</v>
      </c>
      <c r="AS4" s="80" t="s">
        <v>227</v>
      </c>
      <c r="AT4" s="80" t="s">
        <v>222</v>
      </c>
      <c r="AU4" s="79" t="s">
        <v>201</v>
      </c>
      <c r="AV4" s="80" t="s">
        <v>200</v>
      </c>
      <c r="AW4" s="79" t="s">
        <v>223</v>
      </c>
      <c r="AX4" s="80" t="s">
        <v>224</v>
      </c>
      <c r="AY4" s="79" t="s">
        <v>225</v>
      </c>
      <c r="AZ4" s="79" t="s">
        <v>160</v>
      </c>
      <c r="BA4" s="80" t="s">
        <v>207</v>
      </c>
      <c r="BB4" s="79" t="s">
        <v>160</v>
      </c>
    </row>
    <row r="5" spans="1:55" ht="44.4" x14ac:dyDescent="0.25">
      <c r="A5" s="3"/>
      <c r="B5" s="46" t="s">
        <v>39</v>
      </c>
      <c r="C5" s="75">
        <v>44079</v>
      </c>
      <c r="D5" s="76">
        <v>44086</v>
      </c>
      <c r="E5" s="75">
        <v>44093</v>
      </c>
      <c r="F5" s="76">
        <v>44100</v>
      </c>
      <c r="G5" s="75">
        <v>44114</v>
      </c>
      <c r="H5" s="76">
        <v>44121</v>
      </c>
      <c r="I5" s="75">
        <v>44128</v>
      </c>
      <c r="J5" s="76">
        <v>44135</v>
      </c>
      <c r="K5" s="75">
        <v>44142</v>
      </c>
      <c r="L5" s="76">
        <v>44149</v>
      </c>
      <c r="M5" s="75">
        <v>44156</v>
      </c>
      <c r="N5" s="76">
        <v>44163</v>
      </c>
      <c r="O5" s="75">
        <v>44170</v>
      </c>
      <c r="P5" s="76">
        <v>44177</v>
      </c>
      <c r="Q5" s="75">
        <v>44205</v>
      </c>
      <c r="R5" s="76">
        <v>44219</v>
      </c>
      <c r="S5" s="75">
        <v>44233</v>
      </c>
      <c r="T5" s="76">
        <v>44254</v>
      </c>
      <c r="U5" s="75">
        <v>44261</v>
      </c>
      <c r="V5" s="76">
        <v>44268</v>
      </c>
      <c r="W5" s="5"/>
      <c r="X5" s="6"/>
      <c r="Y5" s="6"/>
      <c r="Z5" s="6"/>
      <c r="AA5" s="6"/>
      <c r="AB5" s="6"/>
      <c r="AC5" s="6"/>
      <c r="AD5" s="6"/>
      <c r="AI5" s="6"/>
    </row>
    <row r="6" spans="1:55" ht="41.4" customHeight="1" x14ac:dyDescent="0.25">
      <c r="A6" s="3"/>
      <c r="B6" s="46"/>
      <c r="C6" s="75" t="s">
        <v>42</v>
      </c>
      <c r="D6" s="76" t="s">
        <v>42</v>
      </c>
      <c r="E6" s="76" t="s">
        <v>42</v>
      </c>
      <c r="F6" s="76" t="s">
        <v>42</v>
      </c>
      <c r="G6" s="76" t="s">
        <v>42</v>
      </c>
      <c r="H6" s="76" t="s">
        <v>239</v>
      </c>
      <c r="I6" s="76" t="s">
        <v>42</v>
      </c>
      <c r="J6" s="76" t="s">
        <v>42</v>
      </c>
      <c r="K6" s="76" t="s">
        <v>42</v>
      </c>
      <c r="L6" s="76" t="s">
        <v>42</v>
      </c>
      <c r="M6" s="76" t="s">
        <v>42</v>
      </c>
      <c r="N6" s="76" t="s">
        <v>42</v>
      </c>
      <c r="O6" s="75" t="s">
        <v>44</v>
      </c>
      <c r="P6" s="76" t="s">
        <v>42</v>
      </c>
      <c r="Q6" s="76" t="s">
        <v>240</v>
      </c>
      <c r="R6" s="76" t="s">
        <v>240</v>
      </c>
      <c r="S6" s="76" t="s">
        <v>45</v>
      </c>
      <c r="T6" s="76" t="s">
        <v>42</v>
      </c>
      <c r="U6" s="75" t="s">
        <v>45</v>
      </c>
      <c r="V6" s="76" t="s">
        <v>42</v>
      </c>
      <c r="W6" s="5"/>
      <c r="X6" s="6"/>
      <c r="Y6" s="6"/>
      <c r="Z6" s="6"/>
      <c r="AA6" s="6"/>
      <c r="AB6" s="6"/>
      <c r="AC6" s="6"/>
      <c r="AD6" s="6"/>
      <c r="AI6" s="6"/>
    </row>
    <row r="7" spans="1:55" x14ac:dyDescent="0.25">
      <c r="A7" s="3">
        <v>1</v>
      </c>
      <c r="B7" s="8" t="s">
        <v>51</v>
      </c>
      <c r="C7" s="45" t="s">
        <v>48</v>
      </c>
      <c r="D7" s="43" t="s">
        <v>48</v>
      </c>
      <c r="E7" s="43" t="s">
        <v>48</v>
      </c>
      <c r="F7" s="9"/>
      <c r="G7" s="9" t="s">
        <v>299</v>
      </c>
      <c r="H7" s="43"/>
      <c r="I7" s="43"/>
      <c r="J7" s="43"/>
      <c r="K7" s="43"/>
      <c r="L7" s="43"/>
      <c r="M7" s="43"/>
      <c r="N7" s="43"/>
      <c r="O7" s="43"/>
      <c r="P7" s="43"/>
      <c r="Q7" s="82"/>
      <c r="R7" s="148"/>
      <c r="S7" s="149"/>
      <c r="T7" s="43"/>
      <c r="U7" s="43"/>
      <c r="V7" s="43"/>
      <c r="W7" s="105">
        <f t="shared" ref="W7:W30" si="0">SUM(COUNTIF(C7:V7,"h"),COUNTIF(C7:V7,"w"),COUNTIF(C7:V7,"k"),COUNTIF(C7:V7,"t"))</f>
        <v>3</v>
      </c>
      <c r="X7" s="101">
        <f t="shared" ref="X7:X30" si="1">COUNTIF(C7:V7,"w")</f>
        <v>0</v>
      </c>
      <c r="Y7" s="101">
        <f t="shared" ref="Y7:Y30" si="2">COUNTIF(C7:V7,"k")</f>
        <v>0</v>
      </c>
      <c r="Z7" s="101">
        <f t="shared" ref="Z7:Z30" si="3">BC7</f>
        <v>-2</v>
      </c>
      <c r="AA7" s="101">
        <f t="shared" ref="AA7:AA30" si="4">COUNTIF(C7:V7,"t")</f>
        <v>0</v>
      </c>
      <c r="AB7" s="102">
        <f t="shared" ref="AB7:AB30" si="5">(X7/(W7+Z7-AA7-Y7))*100</f>
        <v>0</v>
      </c>
      <c r="AG7" s="195">
        <f t="shared" ref="AG7:AG30" si="6">W7-AA7</f>
        <v>3</v>
      </c>
      <c r="AI7" s="6">
        <f t="shared" ref="AI7:AI30" si="7">IF(C$34="ja",0,IF(C7="h",-1,IF(C7="k",0,IF(C7="w",-1,0))))</f>
        <v>-1</v>
      </c>
      <c r="AJ7" s="6">
        <f t="shared" ref="AJ7:AJ30" si="8">IF(D$34="ja",0,IF(D7="h",-1,IF(D7="k",0,IF(D7="w",-1,0))))</f>
        <v>0</v>
      </c>
      <c r="AK7" s="6">
        <f t="shared" ref="AK7:AK30" si="9">IF(E$34="ja",0,IF(E7="h",-1,IF(E7="k",0,IF(E7="w",-1,0))))</f>
        <v>-1</v>
      </c>
      <c r="AL7" s="6">
        <f t="shared" ref="AL7:AL30" si="10">IF(F$34="ja",0,IF(F7="h",-1,IF(F7="k",0,IF(F7="w",-1,0))))</f>
        <v>0</v>
      </c>
      <c r="AM7" s="6">
        <f t="shared" ref="AM7:AM30" si="11">IF(G$34="ja",0,IF(G7="h",-1,IF(G7="k",0,IF(G7="w",-1,0))))</f>
        <v>0</v>
      </c>
      <c r="AN7" s="6">
        <f t="shared" ref="AN7:AN30" si="12">IF(H$34="ja",0,IF(H7="h",-1,IF(H7="k",0,IF(H7="w",-1,0))))</f>
        <v>0</v>
      </c>
      <c r="AO7" s="6">
        <f t="shared" ref="AO7:AO30" si="13">IF(I$34="ja",0,IF(I7="h",-1,IF(I7="k",0,IF(I7="w",-1,0))))</f>
        <v>0</v>
      </c>
      <c r="AP7" s="6">
        <f t="shared" ref="AP7:AP30" si="14">IF(J$34="ja",0,IF(J7="h",-1,IF(J7="k",0,IF(J7="w",-1,0))))</f>
        <v>0</v>
      </c>
      <c r="AQ7" s="6">
        <f t="shared" ref="AQ7:AQ30" si="15">IF(K$34="ja",0,IF(K7="h",-1,IF(K7="k",0,IF(K7="w",-1,0))))</f>
        <v>0</v>
      </c>
      <c r="AR7" s="6">
        <f t="shared" ref="AR7:AR30" si="16">IF(L$34="ja",0,IF(L7="h",-1,IF(L7="k",0,IF(L7="w",-1,0))))</f>
        <v>0</v>
      </c>
      <c r="AS7" s="6">
        <f t="shared" ref="AS7:AS30" si="17">IF(M$34="ja",0,IF(M7="h",-1,IF(M7="k",0,IF(M7="w",-1,0))))</f>
        <v>0</v>
      </c>
      <c r="AT7" s="6">
        <f t="shared" ref="AT7:AT30" si="18">IF(N$34="ja",0,IF(N7="h",-1,IF(N7="k",0,IF(N7="w",-1,0))))</f>
        <v>0</v>
      </c>
      <c r="AU7" s="6">
        <f t="shared" ref="AU7:AU30" si="19">IF(O$34="ja",0,IF(O7="h",-1,IF(O7="k",0,IF(O7="w",-1,0))))</f>
        <v>0</v>
      </c>
      <c r="AV7" s="6">
        <f t="shared" ref="AV7:AV30" si="20">IF(P$34="ja",0,IF(P7="h",-1,IF(P7="k",0,IF(P7="w",-1,0))))</f>
        <v>0</v>
      </c>
      <c r="AW7" s="6">
        <f t="shared" ref="AW7:AW30" si="21">IF(Q$34="ja",0,IF(Q7="h",-1,IF(Q7="k",0,IF(Q7="w",-1,0))))</f>
        <v>0</v>
      </c>
      <c r="AX7" s="6">
        <f t="shared" ref="AX7:AX30" si="22">IF(R$34="ja",0,IF(R7="h",-1,IF(R7="k",0,IF(R7="w",-1,0))))</f>
        <v>0</v>
      </c>
      <c r="AY7" s="6">
        <f t="shared" ref="AY7:AY30" si="23">IF(S$34="ja",0,IF(S7="h",-1,IF(S7="k",0,IF(S7="w",-1,0))))</f>
        <v>0</v>
      </c>
      <c r="AZ7" s="6">
        <f t="shared" ref="AZ7:AZ30" si="24">IF(T$34="ja",0,IF(T7="h",-1,IF(T7="k",0,IF(T7="w",-1,0))))</f>
        <v>0</v>
      </c>
      <c r="BA7" s="6">
        <f t="shared" ref="BA7:BA30" si="25">IF(U$34="ja",0,IF(U7="h",-1,IF(U7="k",0,IF(U7="w",-1,0))))</f>
        <v>0</v>
      </c>
      <c r="BB7" s="6">
        <f t="shared" ref="BB7:BB30" si="26">IF(V$34="ja",0,IF(V7="h",-1,IF(V7="k",0,IF(V7="w",-1,0))))</f>
        <v>0</v>
      </c>
      <c r="BC7" s="6">
        <f t="shared" ref="BC7:BC30" si="27">SUM(AI7:BB7)</f>
        <v>-2</v>
      </c>
    </row>
    <row r="8" spans="1:55" x14ac:dyDescent="0.25">
      <c r="A8" s="3">
        <v>2</v>
      </c>
      <c r="B8" s="8" t="s">
        <v>72</v>
      </c>
      <c r="C8" s="45" t="s">
        <v>48</v>
      </c>
      <c r="D8" s="43" t="s">
        <v>48</v>
      </c>
      <c r="E8" s="43" t="s">
        <v>299</v>
      </c>
      <c r="F8" s="43"/>
      <c r="G8" s="43" t="s">
        <v>48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86"/>
      <c r="T8" s="43"/>
      <c r="U8" s="43"/>
      <c r="V8" s="43"/>
      <c r="W8" s="105">
        <f t="shared" si="0"/>
        <v>3</v>
      </c>
      <c r="X8" s="101">
        <f t="shared" si="1"/>
        <v>0</v>
      </c>
      <c r="Y8" s="101">
        <f t="shared" si="2"/>
        <v>0</v>
      </c>
      <c r="Z8" s="101">
        <f t="shared" si="3"/>
        <v>-2</v>
      </c>
      <c r="AA8" s="101">
        <f t="shared" si="4"/>
        <v>0</v>
      </c>
      <c r="AB8" s="102">
        <f t="shared" si="5"/>
        <v>0</v>
      </c>
      <c r="AG8" s="195">
        <f t="shared" si="6"/>
        <v>3</v>
      </c>
      <c r="AI8" s="6">
        <f t="shared" si="7"/>
        <v>-1</v>
      </c>
      <c r="AJ8" s="6">
        <f t="shared" si="8"/>
        <v>0</v>
      </c>
      <c r="AK8" s="6">
        <f t="shared" si="9"/>
        <v>0</v>
      </c>
      <c r="AL8" s="6">
        <f t="shared" si="10"/>
        <v>0</v>
      </c>
      <c r="AM8" s="6">
        <f t="shared" si="11"/>
        <v>-1</v>
      </c>
      <c r="AN8" s="6">
        <f t="shared" si="12"/>
        <v>0</v>
      </c>
      <c r="AO8" s="6">
        <f t="shared" si="13"/>
        <v>0</v>
      </c>
      <c r="AP8" s="6">
        <f t="shared" si="14"/>
        <v>0</v>
      </c>
      <c r="AQ8" s="6">
        <f t="shared" si="15"/>
        <v>0</v>
      </c>
      <c r="AR8" s="6">
        <f t="shared" si="16"/>
        <v>0</v>
      </c>
      <c r="AS8" s="6">
        <f t="shared" si="17"/>
        <v>0</v>
      </c>
      <c r="AT8" s="6">
        <f t="shared" si="18"/>
        <v>0</v>
      </c>
      <c r="AU8" s="6">
        <f t="shared" si="19"/>
        <v>0</v>
      </c>
      <c r="AV8" s="6">
        <f t="shared" si="20"/>
        <v>0</v>
      </c>
      <c r="AW8" s="6">
        <f t="shared" si="21"/>
        <v>0</v>
      </c>
      <c r="AX8" s="6">
        <f t="shared" si="22"/>
        <v>0</v>
      </c>
      <c r="AY8" s="6">
        <f t="shared" si="23"/>
        <v>0</v>
      </c>
      <c r="AZ8" s="6">
        <f t="shared" si="24"/>
        <v>0</v>
      </c>
      <c r="BA8" s="6">
        <f t="shared" si="25"/>
        <v>0</v>
      </c>
      <c r="BB8" s="6">
        <f t="shared" si="26"/>
        <v>0</v>
      </c>
      <c r="BC8" s="6">
        <f t="shared" si="27"/>
        <v>-2</v>
      </c>
    </row>
    <row r="9" spans="1:55" x14ac:dyDescent="0.25">
      <c r="A9" s="3">
        <v>3</v>
      </c>
      <c r="B9" s="8" t="s">
        <v>55</v>
      </c>
      <c r="C9" s="9" t="s">
        <v>299</v>
      </c>
      <c r="D9" s="43" t="s">
        <v>48</v>
      </c>
      <c r="E9" s="9" t="s">
        <v>48</v>
      </c>
      <c r="F9" s="43"/>
      <c r="G9" s="43" t="s">
        <v>299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85"/>
      <c r="T9" s="43"/>
      <c r="U9" s="43"/>
      <c r="V9" s="43"/>
      <c r="W9" s="105">
        <f t="shared" si="0"/>
        <v>2</v>
      </c>
      <c r="X9" s="101">
        <f t="shared" si="1"/>
        <v>0</v>
      </c>
      <c r="Y9" s="101">
        <f t="shared" si="2"/>
        <v>0</v>
      </c>
      <c r="Z9" s="101">
        <f t="shared" si="3"/>
        <v>-1</v>
      </c>
      <c r="AA9" s="101">
        <f t="shared" si="4"/>
        <v>0</v>
      </c>
      <c r="AB9" s="102">
        <f t="shared" si="5"/>
        <v>0</v>
      </c>
      <c r="AG9" s="195">
        <f t="shared" si="6"/>
        <v>2</v>
      </c>
      <c r="AI9" s="6">
        <f t="shared" si="7"/>
        <v>0</v>
      </c>
      <c r="AJ9" s="6">
        <f t="shared" si="8"/>
        <v>0</v>
      </c>
      <c r="AK9" s="6">
        <f t="shared" si="9"/>
        <v>-1</v>
      </c>
      <c r="AL9" s="6">
        <f t="shared" si="10"/>
        <v>0</v>
      </c>
      <c r="AM9" s="6">
        <f t="shared" si="11"/>
        <v>0</v>
      </c>
      <c r="AN9" s="6">
        <f t="shared" si="12"/>
        <v>0</v>
      </c>
      <c r="AO9" s="6">
        <f t="shared" si="13"/>
        <v>0</v>
      </c>
      <c r="AP9" s="6">
        <f t="shared" si="14"/>
        <v>0</v>
      </c>
      <c r="AQ9" s="6">
        <f t="shared" si="15"/>
        <v>0</v>
      </c>
      <c r="AR9" s="6">
        <f t="shared" si="16"/>
        <v>0</v>
      </c>
      <c r="AS9" s="6">
        <f t="shared" si="17"/>
        <v>0</v>
      </c>
      <c r="AT9" s="6">
        <f t="shared" si="18"/>
        <v>0</v>
      </c>
      <c r="AU9" s="6">
        <f t="shared" si="19"/>
        <v>0</v>
      </c>
      <c r="AV9" s="6">
        <f t="shared" si="20"/>
        <v>0</v>
      </c>
      <c r="AW9" s="6">
        <f t="shared" si="21"/>
        <v>0</v>
      </c>
      <c r="AX9" s="6">
        <f t="shared" si="22"/>
        <v>0</v>
      </c>
      <c r="AY9" s="6">
        <f t="shared" si="23"/>
        <v>0</v>
      </c>
      <c r="AZ9" s="6">
        <f t="shared" si="24"/>
        <v>0</v>
      </c>
      <c r="BA9" s="6">
        <f t="shared" si="25"/>
        <v>0</v>
      </c>
      <c r="BB9" s="6">
        <f t="shared" si="26"/>
        <v>0</v>
      </c>
      <c r="BC9" s="6">
        <f t="shared" si="27"/>
        <v>-1</v>
      </c>
    </row>
    <row r="10" spans="1:55" x14ac:dyDescent="0.25">
      <c r="A10" s="3">
        <v>4</v>
      </c>
      <c r="B10" s="8" t="s">
        <v>53</v>
      </c>
      <c r="C10" s="45" t="s">
        <v>299</v>
      </c>
      <c r="D10" s="43" t="s">
        <v>48</v>
      </c>
      <c r="E10" s="43" t="s">
        <v>299</v>
      </c>
      <c r="F10" s="43"/>
      <c r="G10" s="43" t="s">
        <v>299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85"/>
      <c r="T10" s="43"/>
      <c r="U10" s="43"/>
      <c r="V10" s="43"/>
      <c r="W10" s="105">
        <f t="shared" si="0"/>
        <v>1</v>
      </c>
      <c r="X10" s="101">
        <f t="shared" si="1"/>
        <v>0</v>
      </c>
      <c r="Y10" s="101">
        <f t="shared" si="2"/>
        <v>0</v>
      </c>
      <c r="Z10" s="101">
        <f t="shared" si="3"/>
        <v>0</v>
      </c>
      <c r="AA10" s="101">
        <f t="shared" si="4"/>
        <v>0</v>
      </c>
      <c r="AB10" s="102">
        <f t="shared" si="5"/>
        <v>0</v>
      </c>
      <c r="AC10" s="6"/>
      <c r="AD10" s="6"/>
      <c r="AG10" s="195">
        <f t="shared" si="6"/>
        <v>1</v>
      </c>
      <c r="AI10" s="6">
        <f t="shared" si="7"/>
        <v>0</v>
      </c>
      <c r="AJ10" s="6">
        <f t="shared" si="8"/>
        <v>0</v>
      </c>
      <c r="AK10" s="6">
        <f t="shared" si="9"/>
        <v>0</v>
      </c>
      <c r="AL10" s="6">
        <f t="shared" si="10"/>
        <v>0</v>
      </c>
      <c r="AM10" s="6">
        <f t="shared" si="11"/>
        <v>0</v>
      </c>
      <c r="AN10" s="6">
        <f t="shared" si="12"/>
        <v>0</v>
      </c>
      <c r="AO10" s="6">
        <f t="shared" si="13"/>
        <v>0</v>
      </c>
      <c r="AP10" s="6">
        <f t="shared" si="14"/>
        <v>0</v>
      </c>
      <c r="AQ10" s="6">
        <f t="shared" si="15"/>
        <v>0</v>
      </c>
      <c r="AR10" s="6">
        <f t="shared" si="16"/>
        <v>0</v>
      </c>
      <c r="AS10" s="6">
        <f t="shared" si="17"/>
        <v>0</v>
      </c>
      <c r="AT10" s="6">
        <f t="shared" si="18"/>
        <v>0</v>
      </c>
      <c r="AU10" s="6">
        <f t="shared" si="19"/>
        <v>0</v>
      </c>
      <c r="AV10" s="6">
        <f t="shared" si="20"/>
        <v>0</v>
      </c>
      <c r="AW10" s="6">
        <f t="shared" si="21"/>
        <v>0</v>
      </c>
      <c r="AX10" s="6">
        <f t="shared" si="22"/>
        <v>0</v>
      </c>
      <c r="AY10" s="6">
        <f t="shared" si="23"/>
        <v>0</v>
      </c>
      <c r="AZ10" s="6">
        <f t="shared" si="24"/>
        <v>0</v>
      </c>
      <c r="BA10" s="6">
        <f t="shared" si="25"/>
        <v>0</v>
      </c>
      <c r="BB10" s="6">
        <f t="shared" si="26"/>
        <v>0</v>
      </c>
      <c r="BC10" s="6">
        <f t="shared" si="27"/>
        <v>0</v>
      </c>
    </row>
    <row r="11" spans="1:55" x14ac:dyDescent="0.25">
      <c r="A11" s="3">
        <v>5</v>
      </c>
      <c r="B11" s="8" t="s">
        <v>73</v>
      </c>
      <c r="C11" s="45" t="s">
        <v>74</v>
      </c>
      <c r="D11" s="43" t="s">
        <v>74</v>
      </c>
      <c r="E11" s="43" t="s">
        <v>74</v>
      </c>
      <c r="F11" s="43"/>
      <c r="G11" s="43" t="s">
        <v>74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87"/>
      <c r="S11" s="86"/>
      <c r="T11" s="43"/>
      <c r="U11" s="43"/>
      <c r="V11" s="43"/>
      <c r="W11" s="105">
        <f t="shared" si="0"/>
        <v>4</v>
      </c>
      <c r="X11" s="101">
        <f t="shared" si="1"/>
        <v>0</v>
      </c>
      <c r="Y11" s="101">
        <f t="shared" si="2"/>
        <v>4</v>
      </c>
      <c r="Z11" s="101">
        <f t="shared" si="3"/>
        <v>0</v>
      </c>
      <c r="AA11" s="101">
        <f t="shared" si="4"/>
        <v>0</v>
      </c>
      <c r="AB11" s="102" t="e">
        <f t="shared" si="5"/>
        <v>#DIV/0!</v>
      </c>
      <c r="AC11" s="6"/>
      <c r="AD11" s="6"/>
      <c r="AG11" s="195">
        <f t="shared" si="6"/>
        <v>4</v>
      </c>
      <c r="AI11" s="6">
        <f t="shared" si="7"/>
        <v>0</v>
      </c>
      <c r="AJ11" s="6">
        <f t="shared" si="8"/>
        <v>0</v>
      </c>
      <c r="AK11" s="6">
        <f t="shared" si="9"/>
        <v>0</v>
      </c>
      <c r="AL11" s="6">
        <f t="shared" si="10"/>
        <v>0</v>
      </c>
      <c r="AM11" s="6">
        <f t="shared" si="11"/>
        <v>0</v>
      </c>
      <c r="AN11" s="6">
        <f t="shared" si="12"/>
        <v>0</v>
      </c>
      <c r="AO11" s="6">
        <f t="shared" si="13"/>
        <v>0</v>
      </c>
      <c r="AP11" s="6">
        <f t="shared" si="14"/>
        <v>0</v>
      </c>
      <c r="AQ11" s="6">
        <f t="shared" si="15"/>
        <v>0</v>
      </c>
      <c r="AR11" s="6">
        <f t="shared" si="16"/>
        <v>0</v>
      </c>
      <c r="AS11" s="6">
        <f t="shared" si="17"/>
        <v>0</v>
      </c>
      <c r="AT11" s="6">
        <f t="shared" si="18"/>
        <v>0</v>
      </c>
      <c r="AU11" s="6">
        <f t="shared" si="19"/>
        <v>0</v>
      </c>
      <c r="AV11" s="6">
        <f t="shared" si="20"/>
        <v>0</v>
      </c>
      <c r="AW11" s="6">
        <f t="shared" si="21"/>
        <v>0</v>
      </c>
      <c r="AX11" s="6">
        <f t="shared" si="22"/>
        <v>0</v>
      </c>
      <c r="AY11" s="6">
        <f t="shared" si="23"/>
        <v>0</v>
      </c>
      <c r="AZ11" s="6">
        <f t="shared" si="24"/>
        <v>0</v>
      </c>
      <c r="BA11" s="6">
        <f t="shared" si="25"/>
        <v>0</v>
      </c>
      <c r="BB11" s="6">
        <f t="shared" si="26"/>
        <v>0</v>
      </c>
      <c r="BC11" s="6">
        <f t="shared" si="27"/>
        <v>0</v>
      </c>
    </row>
    <row r="12" spans="1:55" x14ac:dyDescent="0.25">
      <c r="A12" s="3">
        <v>6</v>
      </c>
      <c r="B12" s="8" t="s">
        <v>64</v>
      </c>
      <c r="C12" s="45" t="s">
        <v>48</v>
      </c>
      <c r="D12" s="43" t="s">
        <v>48</v>
      </c>
      <c r="E12" s="43" t="s">
        <v>299</v>
      </c>
      <c r="F12" s="43"/>
      <c r="G12" s="43" t="s">
        <v>52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85"/>
      <c r="T12" s="43"/>
      <c r="U12" s="43"/>
      <c r="V12" s="43"/>
      <c r="W12" s="105">
        <f t="shared" si="0"/>
        <v>3</v>
      </c>
      <c r="X12" s="101">
        <f t="shared" si="1"/>
        <v>0</v>
      </c>
      <c r="Y12" s="101">
        <f t="shared" si="2"/>
        <v>0</v>
      </c>
      <c r="Z12" s="101">
        <f t="shared" si="3"/>
        <v>-1</v>
      </c>
      <c r="AA12" s="101">
        <f t="shared" si="4"/>
        <v>1</v>
      </c>
      <c r="AB12" s="102">
        <f t="shared" si="5"/>
        <v>0</v>
      </c>
      <c r="AG12" s="195">
        <f t="shared" si="6"/>
        <v>2</v>
      </c>
      <c r="AI12" s="6">
        <f t="shared" si="7"/>
        <v>-1</v>
      </c>
      <c r="AJ12" s="6">
        <f t="shared" si="8"/>
        <v>0</v>
      </c>
      <c r="AK12" s="6">
        <f t="shared" si="9"/>
        <v>0</v>
      </c>
      <c r="AL12" s="6">
        <f t="shared" si="10"/>
        <v>0</v>
      </c>
      <c r="AM12" s="6">
        <f t="shared" si="11"/>
        <v>0</v>
      </c>
      <c r="AN12" s="6">
        <f t="shared" si="12"/>
        <v>0</v>
      </c>
      <c r="AO12" s="6">
        <f t="shared" si="13"/>
        <v>0</v>
      </c>
      <c r="AP12" s="6">
        <f t="shared" si="14"/>
        <v>0</v>
      </c>
      <c r="AQ12" s="6">
        <f t="shared" si="15"/>
        <v>0</v>
      </c>
      <c r="AR12" s="6">
        <f t="shared" si="16"/>
        <v>0</v>
      </c>
      <c r="AS12" s="6">
        <f t="shared" si="17"/>
        <v>0</v>
      </c>
      <c r="AT12" s="6">
        <f t="shared" si="18"/>
        <v>0</v>
      </c>
      <c r="AU12" s="6">
        <f t="shared" si="19"/>
        <v>0</v>
      </c>
      <c r="AV12" s="6">
        <f t="shared" si="20"/>
        <v>0</v>
      </c>
      <c r="AW12" s="6">
        <f t="shared" si="21"/>
        <v>0</v>
      </c>
      <c r="AX12" s="6">
        <f t="shared" si="22"/>
        <v>0</v>
      </c>
      <c r="AY12" s="6">
        <f t="shared" si="23"/>
        <v>0</v>
      </c>
      <c r="AZ12" s="6">
        <f t="shared" si="24"/>
        <v>0</v>
      </c>
      <c r="BA12" s="6">
        <f t="shared" si="25"/>
        <v>0</v>
      </c>
      <c r="BB12" s="6">
        <f t="shared" si="26"/>
        <v>0</v>
      </c>
      <c r="BC12" s="6">
        <f t="shared" si="27"/>
        <v>-1</v>
      </c>
    </row>
    <row r="13" spans="1:55" x14ac:dyDescent="0.25">
      <c r="A13" s="3">
        <v>7</v>
      </c>
      <c r="B13" s="8" t="s">
        <v>70</v>
      </c>
      <c r="C13" s="45" t="s">
        <v>48</v>
      </c>
      <c r="D13" s="43"/>
      <c r="E13" s="45" t="s">
        <v>48</v>
      </c>
      <c r="F13" s="43"/>
      <c r="G13" s="43" t="s">
        <v>48</v>
      </c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85"/>
      <c r="T13" s="43"/>
      <c r="U13" s="43"/>
      <c r="V13" s="43"/>
      <c r="W13" s="105">
        <f t="shared" si="0"/>
        <v>3</v>
      </c>
      <c r="X13" s="101">
        <f t="shared" si="1"/>
        <v>0</v>
      </c>
      <c r="Y13" s="101">
        <f t="shared" si="2"/>
        <v>0</v>
      </c>
      <c r="Z13" s="101">
        <f t="shared" si="3"/>
        <v>-3</v>
      </c>
      <c r="AA13" s="101">
        <f t="shared" si="4"/>
        <v>0</v>
      </c>
      <c r="AB13" s="102" t="e">
        <f t="shared" si="5"/>
        <v>#DIV/0!</v>
      </c>
      <c r="AG13" s="195">
        <f t="shared" si="6"/>
        <v>3</v>
      </c>
      <c r="AI13" s="6">
        <f t="shared" si="7"/>
        <v>-1</v>
      </c>
      <c r="AJ13" s="6">
        <f t="shared" si="8"/>
        <v>0</v>
      </c>
      <c r="AK13" s="6">
        <f t="shared" si="9"/>
        <v>-1</v>
      </c>
      <c r="AL13" s="6">
        <f t="shared" si="10"/>
        <v>0</v>
      </c>
      <c r="AM13" s="6">
        <f t="shared" si="11"/>
        <v>-1</v>
      </c>
      <c r="AN13" s="6">
        <f t="shared" si="12"/>
        <v>0</v>
      </c>
      <c r="AO13" s="6">
        <f t="shared" si="13"/>
        <v>0</v>
      </c>
      <c r="AP13" s="6">
        <f t="shared" si="14"/>
        <v>0</v>
      </c>
      <c r="AQ13" s="6">
        <f t="shared" si="15"/>
        <v>0</v>
      </c>
      <c r="AR13" s="6">
        <f t="shared" si="16"/>
        <v>0</v>
      </c>
      <c r="AS13" s="6">
        <f t="shared" si="17"/>
        <v>0</v>
      </c>
      <c r="AT13" s="6">
        <f t="shared" si="18"/>
        <v>0</v>
      </c>
      <c r="AU13" s="6">
        <f t="shared" si="19"/>
        <v>0</v>
      </c>
      <c r="AV13" s="6">
        <f t="shared" si="20"/>
        <v>0</v>
      </c>
      <c r="AW13" s="6">
        <f t="shared" si="21"/>
        <v>0</v>
      </c>
      <c r="AX13" s="6">
        <f t="shared" si="22"/>
        <v>0</v>
      </c>
      <c r="AY13" s="6">
        <f t="shared" si="23"/>
        <v>0</v>
      </c>
      <c r="AZ13" s="6">
        <f t="shared" si="24"/>
        <v>0</v>
      </c>
      <c r="BA13" s="6">
        <f t="shared" si="25"/>
        <v>0</v>
      </c>
      <c r="BB13" s="6">
        <f t="shared" si="26"/>
        <v>0</v>
      </c>
      <c r="BC13" s="6">
        <f t="shared" si="27"/>
        <v>-3</v>
      </c>
    </row>
    <row r="14" spans="1:55" x14ac:dyDescent="0.25">
      <c r="A14" s="3">
        <v>8</v>
      </c>
      <c r="B14" s="8" t="s">
        <v>77</v>
      </c>
      <c r="C14" s="9"/>
      <c r="D14" s="43" t="s">
        <v>48</v>
      </c>
      <c r="E14" s="43" t="s">
        <v>48</v>
      </c>
      <c r="F14" s="43"/>
      <c r="G14" s="43" t="s">
        <v>299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85"/>
      <c r="T14" s="43"/>
      <c r="U14" s="43"/>
      <c r="V14" s="43"/>
      <c r="W14" s="105">
        <f t="shared" si="0"/>
        <v>2</v>
      </c>
      <c r="X14" s="101">
        <f t="shared" si="1"/>
        <v>0</v>
      </c>
      <c r="Y14" s="101">
        <f t="shared" si="2"/>
        <v>0</v>
      </c>
      <c r="Z14" s="101">
        <f t="shared" si="3"/>
        <v>-1</v>
      </c>
      <c r="AA14" s="101">
        <f t="shared" si="4"/>
        <v>0</v>
      </c>
      <c r="AB14" s="102">
        <f t="shared" si="5"/>
        <v>0</v>
      </c>
      <c r="AG14" s="195">
        <f t="shared" si="6"/>
        <v>2</v>
      </c>
      <c r="AI14" s="6">
        <f t="shared" si="7"/>
        <v>0</v>
      </c>
      <c r="AJ14" s="6">
        <f t="shared" si="8"/>
        <v>0</v>
      </c>
      <c r="AK14" s="6">
        <f t="shared" si="9"/>
        <v>-1</v>
      </c>
      <c r="AL14" s="6">
        <f t="shared" si="10"/>
        <v>0</v>
      </c>
      <c r="AM14" s="6">
        <f t="shared" si="11"/>
        <v>0</v>
      </c>
      <c r="AN14" s="6">
        <f t="shared" si="12"/>
        <v>0</v>
      </c>
      <c r="AO14" s="6">
        <f t="shared" si="13"/>
        <v>0</v>
      </c>
      <c r="AP14" s="6">
        <f t="shared" si="14"/>
        <v>0</v>
      </c>
      <c r="AQ14" s="6">
        <f t="shared" si="15"/>
        <v>0</v>
      </c>
      <c r="AR14" s="6">
        <f t="shared" si="16"/>
        <v>0</v>
      </c>
      <c r="AS14" s="6">
        <f t="shared" si="17"/>
        <v>0</v>
      </c>
      <c r="AT14" s="6">
        <f t="shared" si="18"/>
        <v>0</v>
      </c>
      <c r="AU14" s="6">
        <f t="shared" si="19"/>
        <v>0</v>
      </c>
      <c r="AV14" s="6">
        <f t="shared" si="20"/>
        <v>0</v>
      </c>
      <c r="AW14" s="6">
        <f t="shared" si="21"/>
        <v>0</v>
      </c>
      <c r="AX14" s="6">
        <f t="shared" si="22"/>
        <v>0</v>
      </c>
      <c r="AY14" s="6">
        <f t="shared" si="23"/>
        <v>0</v>
      </c>
      <c r="AZ14" s="6">
        <f t="shared" si="24"/>
        <v>0</v>
      </c>
      <c r="BA14" s="6">
        <f t="shared" si="25"/>
        <v>0</v>
      </c>
      <c r="BB14" s="6">
        <f t="shared" si="26"/>
        <v>0</v>
      </c>
      <c r="BC14" s="6">
        <f t="shared" si="27"/>
        <v>-1</v>
      </c>
    </row>
    <row r="15" spans="1:55" x14ac:dyDescent="0.25">
      <c r="A15" s="3">
        <v>9</v>
      </c>
      <c r="B15" s="8" t="s">
        <v>115</v>
      </c>
      <c r="C15" s="9" t="s">
        <v>48</v>
      </c>
      <c r="D15" s="43" t="s">
        <v>48</v>
      </c>
      <c r="E15" s="43"/>
      <c r="F15" s="43"/>
      <c r="G15" s="43" t="s">
        <v>299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85"/>
      <c r="T15" s="43"/>
      <c r="U15" s="43"/>
      <c r="V15" s="43"/>
      <c r="W15" s="105">
        <f t="shared" si="0"/>
        <v>2</v>
      </c>
      <c r="X15" s="101">
        <f t="shared" si="1"/>
        <v>0</v>
      </c>
      <c r="Y15" s="101">
        <f t="shared" si="2"/>
        <v>0</v>
      </c>
      <c r="Z15" s="101">
        <f t="shared" si="3"/>
        <v>-1</v>
      </c>
      <c r="AA15" s="101">
        <f t="shared" si="4"/>
        <v>0</v>
      </c>
      <c r="AB15" s="102">
        <f t="shared" si="5"/>
        <v>0</v>
      </c>
      <c r="AG15" s="195">
        <f t="shared" si="6"/>
        <v>2</v>
      </c>
      <c r="AI15" s="6">
        <f t="shared" si="7"/>
        <v>-1</v>
      </c>
      <c r="AJ15" s="6">
        <f t="shared" si="8"/>
        <v>0</v>
      </c>
      <c r="AK15" s="6">
        <f t="shared" si="9"/>
        <v>0</v>
      </c>
      <c r="AL15" s="6">
        <f t="shared" si="10"/>
        <v>0</v>
      </c>
      <c r="AM15" s="6">
        <f t="shared" si="11"/>
        <v>0</v>
      </c>
      <c r="AN15" s="6">
        <f t="shared" si="12"/>
        <v>0</v>
      </c>
      <c r="AO15" s="6">
        <f t="shared" si="13"/>
        <v>0</v>
      </c>
      <c r="AP15" s="6">
        <f t="shared" si="14"/>
        <v>0</v>
      </c>
      <c r="AQ15" s="6">
        <f t="shared" si="15"/>
        <v>0</v>
      </c>
      <c r="AR15" s="6">
        <f t="shared" si="16"/>
        <v>0</v>
      </c>
      <c r="AS15" s="6">
        <f t="shared" si="17"/>
        <v>0</v>
      </c>
      <c r="AT15" s="6">
        <f t="shared" si="18"/>
        <v>0</v>
      </c>
      <c r="AU15" s="6">
        <f t="shared" si="19"/>
        <v>0</v>
      </c>
      <c r="AV15" s="6">
        <f t="shared" si="20"/>
        <v>0</v>
      </c>
      <c r="AW15" s="6">
        <f t="shared" si="21"/>
        <v>0</v>
      </c>
      <c r="AX15" s="6">
        <f t="shared" si="22"/>
        <v>0</v>
      </c>
      <c r="AY15" s="6">
        <f t="shared" si="23"/>
        <v>0</v>
      </c>
      <c r="AZ15" s="6">
        <f t="shared" si="24"/>
        <v>0</v>
      </c>
      <c r="BA15" s="6">
        <f t="shared" si="25"/>
        <v>0</v>
      </c>
      <c r="BB15" s="6">
        <f t="shared" si="26"/>
        <v>0</v>
      </c>
      <c r="BC15" s="6">
        <f t="shared" si="27"/>
        <v>-1</v>
      </c>
    </row>
    <row r="16" spans="1:55" x14ac:dyDescent="0.25">
      <c r="A16" s="3">
        <v>10</v>
      </c>
      <c r="B16" s="8" t="s">
        <v>60</v>
      </c>
      <c r="C16" s="9" t="s">
        <v>48</v>
      </c>
      <c r="D16" s="45"/>
      <c r="E16" s="43" t="s">
        <v>48</v>
      </c>
      <c r="F16" s="43"/>
      <c r="G16" s="43" t="s">
        <v>299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86"/>
      <c r="T16" s="43"/>
      <c r="U16" s="43"/>
      <c r="V16" s="43"/>
      <c r="W16" s="105">
        <f t="shared" si="0"/>
        <v>2</v>
      </c>
      <c r="X16" s="101">
        <f t="shared" si="1"/>
        <v>0</v>
      </c>
      <c r="Y16" s="101">
        <f t="shared" si="2"/>
        <v>0</v>
      </c>
      <c r="Z16" s="101">
        <f t="shared" si="3"/>
        <v>-2</v>
      </c>
      <c r="AA16" s="101">
        <f t="shared" si="4"/>
        <v>0</v>
      </c>
      <c r="AB16" s="102" t="e">
        <f t="shared" si="5"/>
        <v>#DIV/0!</v>
      </c>
      <c r="AG16" s="195">
        <f t="shared" si="6"/>
        <v>2</v>
      </c>
      <c r="AI16" s="6">
        <f t="shared" si="7"/>
        <v>-1</v>
      </c>
      <c r="AJ16" s="6">
        <f t="shared" si="8"/>
        <v>0</v>
      </c>
      <c r="AK16" s="6">
        <f t="shared" si="9"/>
        <v>-1</v>
      </c>
      <c r="AL16" s="6">
        <f t="shared" si="10"/>
        <v>0</v>
      </c>
      <c r="AM16" s="6">
        <f t="shared" si="11"/>
        <v>0</v>
      </c>
      <c r="AN16" s="6">
        <f t="shared" si="12"/>
        <v>0</v>
      </c>
      <c r="AO16" s="6">
        <f t="shared" si="13"/>
        <v>0</v>
      </c>
      <c r="AP16" s="6">
        <f t="shared" si="14"/>
        <v>0</v>
      </c>
      <c r="AQ16" s="6">
        <f t="shared" si="15"/>
        <v>0</v>
      </c>
      <c r="AR16" s="6">
        <f t="shared" si="16"/>
        <v>0</v>
      </c>
      <c r="AS16" s="6">
        <f t="shared" si="17"/>
        <v>0</v>
      </c>
      <c r="AT16" s="6">
        <f t="shared" si="18"/>
        <v>0</v>
      </c>
      <c r="AU16" s="6">
        <f t="shared" si="19"/>
        <v>0</v>
      </c>
      <c r="AV16" s="6">
        <f t="shared" si="20"/>
        <v>0</v>
      </c>
      <c r="AW16" s="6">
        <f t="shared" si="21"/>
        <v>0</v>
      </c>
      <c r="AX16" s="6">
        <f t="shared" si="22"/>
        <v>0</v>
      </c>
      <c r="AY16" s="6">
        <f t="shared" si="23"/>
        <v>0</v>
      </c>
      <c r="AZ16" s="6">
        <f t="shared" si="24"/>
        <v>0</v>
      </c>
      <c r="BA16" s="6">
        <f t="shared" si="25"/>
        <v>0</v>
      </c>
      <c r="BB16" s="6">
        <f t="shared" si="26"/>
        <v>0</v>
      </c>
      <c r="BC16" s="6">
        <f t="shared" si="27"/>
        <v>-2</v>
      </c>
    </row>
    <row r="17" spans="1:55" x14ac:dyDescent="0.25">
      <c r="A17" s="3">
        <v>11</v>
      </c>
      <c r="B17" s="8" t="s">
        <v>58</v>
      </c>
      <c r="C17" s="45"/>
      <c r="D17" s="43" t="s">
        <v>48</v>
      </c>
      <c r="E17" s="43" t="s">
        <v>299</v>
      </c>
      <c r="F17" s="43"/>
      <c r="G17" s="43" t="s">
        <v>48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85"/>
      <c r="T17" s="43"/>
      <c r="U17" s="43"/>
      <c r="V17" s="43"/>
      <c r="W17" s="105">
        <f t="shared" si="0"/>
        <v>2</v>
      </c>
      <c r="X17" s="101">
        <f t="shared" si="1"/>
        <v>0</v>
      </c>
      <c r="Y17" s="101">
        <f t="shared" si="2"/>
        <v>0</v>
      </c>
      <c r="Z17" s="101">
        <f t="shared" si="3"/>
        <v>-1</v>
      </c>
      <c r="AA17" s="101">
        <f t="shared" si="4"/>
        <v>0</v>
      </c>
      <c r="AB17" s="102">
        <f t="shared" si="5"/>
        <v>0</v>
      </c>
      <c r="AG17" s="195">
        <f t="shared" si="6"/>
        <v>2</v>
      </c>
      <c r="AI17" s="6">
        <f t="shared" si="7"/>
        <v>0</v>
      </c>
      <c r="AJ17" s="6">
        <f t="shared" si="8"/>
        <v>0</v>
      </c>
      <c r="AK17" s="6">
        <f t="shared" si="9"/>
        <v>0</v>
      </c>
      <c r="AL17" s="6">
        <f t="shared" si="10"/>
        <v>0</v>
      </c>
      <c r="AM17" s="6">
        <f t="shared" si="11"/>
        <v>-1</v>
      </c>
      <c r="AN17" s="6">
        <f t="shared" si="12"/>
        <v>0</v>
      </c>
      <c r="AO17" s="6">
        <f t="shared" si="13"/>
        <v>0</v>
      </c>
      <c r="AP17" s="6">
        <f t="shared" si="14"/>
        <v>0</v>
      </c>
      <c r="AQ17" s="6">
        <f t="shared" si="15"/>
        <v>0</v>
      </c>
      <c r="AR17" s="6">
        <f t="shared" si="16"/>
        <v>0</v>
      </c>
      <c r="AS17" s="6">
        <f t="shared" si="17"/>
        <v>0</v>
      </c>
      <c r="AT17" s="6">
        <f t="shared" si="18"/>
        <v>0</v>
      </c>
      <c r="AU17" s="6">
        <f t="shared" si="19"/>
        <v>0</v>
      </c>
      <c r="AV17" s="6">
        <f t="shared" si="20"/>
        <v>0</v>
      </c>
      <c r="AW17" s="6">
        <f t="shared" si="21"/>
        <v>0</v>
      </c>
      <c r="AX17" s="6">
        <f t="shared" si="22"/>
        <v>0</v>
      </c>
      <c r="AY17" s="6">
        <f t="shared" si="23"/>
        <v>0</v>
      </c>
      <c r="AZ17" s="6">
        <f t="shared" si="24"/>
        <v>0</v>
      </c>
      <c r="BA17" s="6">
        <f t="shared" si="25"/>
        <v>0</v>
      </c>
      <c r="BB17" s="6">
        <f t="shared" si="26"/>
        <v>0</v>
      </c>
      <c r="BC17" s="6">
        <f t="shared" si="27"/>
        <v>-1</v>
      </c>
    </row>
    <row r="18" spans="1:55" x14ac:dyDescent="0.25">
      <c r="A18" s="3">
        <v>12</v>
      </c>
      <c r="B18" s="8" t="s">
        <v>49</v>
      </c>
      <c r="C18" s="9" t="s">
        <v>299</v>
      </c>
      <c r="D18" s="45"/>
      <c r="E18" s="43" t="s">
        <v>48</v>
      </c>
      <c r="F18" s="43"/>
      <c r="G18" s="43" t="s">
        <v>52</v>
      </c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86"/>
      <c r="T18" s="43"/>
      <c r="U18" s="43"/>
      <c r="V18" s="43"/>
      <c r="W18" s="105">
        <f t="shared" si="0"/>
        <v>2</v>
      </c>
      <c r="X18" s="101">
        <f t="shared" si="1"/>
        <v>0</v>
      </c>
      <c r="Y18" s="101">
        <f t="shared" si="2"/>
        <v>0</v>
      </c>
      <c r="Z18" s="101">
        <f t="shared" si="3"/>
        <v>-1</v>
      </c>
      <c r="AA18" s="101">
        <f t="shared" si="4"/>
        <v>1</v>
      </c>
      <c r="AB18" s="102" t="e">
        <f t="shared" si="5"/>
        <v>#DIV/0!</v>
      </c>
      <c r="AG18" s="195">
        <f t="shared" si="6"/>
        <v>1</v>
      </c>
      <c r="AI18" s="6">
        <f t="shared" si="7"/>
        <v>0</v>
      </c>
      <c r="AJ18" s="6">
        <f t="shared" si="8"/>
        <v>0</v>
      </c>
      <c r="AK18" s="6">
        <f t="shared" si="9"/>
        <v>-1</v>
      </c>
      <c r="AL18" s="6">
        <f t="shared" si="10"/>
        <v>0</v>
      </c>
      <c r="AM18" s="6">
        <f t="shared" si="11"/>
        <v>0</v>
      </c>
      <c r="AN18" s="6">
        <f t="shared" si="12"/>
        <v>0</v>
      </c>
      <c r="AO18" s="6">
        <f t="shared" si="13"/>
        <v>0</v>
      </c>
      <c r="AP18" s="6">
        <f t="shared" si="14"/>
        <v>0</v>
      </c>
      <c r="AQ18" s="6">
        <f t="shared" si="15"/>
        <v>0</v>
      </c>
      <c r="AR18" s="6">
        <f t="shared" si="16"/>
        <v>0</v>
      </c>
      <c r="AS18" s="6">
        <f t="shared" si="17"/>
        <v>0</v>
      </c>
      <c r="AT18" s="6">
        <f t="shared" si="18"/>
        <v>0</v>
      </c>
      <c r="AU18" s="6">
        <f t="shared" si="19"/>
        <v>0</v>
      </c>
      <c r="AV18" s="6">
        <f t="shared" si="20"/>
        <v>0</v>
      </c>
      <c r="AW18" s="6">
        <f t="shared" si="21"/>
        <v>0</v>
      </c>
      <c r="AX18" s="6">
        <f t="shared" si="22"/>
        <v>0</v>
      </c>
      <c r="AY18" s="6">
        <f t="shared" si="23"/>
        <v>0</v>
      </c>
      <c r="AZ18" s="6">
        <f t="shared" si="24"/>
        <v>0</v>
      </c>
      <c r="BA18" s="6">
        <f t="shared" si="25"/>
        <v>0</v>
      </c>
      <c r="BB18" s="6">
        <f t="shared" si="26"/>
        <v>0</v>
      </c>
      <c r="BC18" s="6">
        <f t="shared" si="27"/>
        <v>-1</v>
      </c>
    </row>
    <row r="19" spans="1:55" x14ac:dyDescent="0.25">
      <c r="A19" s="3">
        <v>13</v>
      </c>
      <c r="B19" s="8" t="s">
        <v>68</v>
      </c>
      <c r="C19" s="9"/>
      <c r="D19" s="9" t="s">
        <v>48</v>
      </c>
      <c r="E19" s="43" t="s">
        <v>48</v>
      </c>
      <c r="F19" s="43"/>
      <c r="G19" s="43"/>
      <c r="H19" s="9"/>
      <c r="I19" s="43"/>
      <c r="J19" s="43"/>
      <c r="K19" s="43"/>
      <c r="L19" s="9"/>
      <c r="M19" s="9"/>
      <c r="N19" s="9"/>
      <c r="O19" s="43"/>
      <c r="P19" s="43"/>
      <c r="Q19" s="43"/>
      <c r="R19" s="43"/>
      <c r="S19" s="85"/>
      <c r="T19" s="43"/>
      <c r="U19" s="43"/>
      <c r="V19" s="43"/>
      <c r="W19" s="105">
        <f t="shared" si="0"/>
        <v>2</v>
      </c>
      <c r="X19" s="101">
        <f t="shared" si="1"/>
        <v>0</v>
      </c>
      <c r="Y19" s="101">
        <f t="shared" si="2"/>
        <v>0</v>
      </c>
      <c r="Z19" s="101">
        <f t="shared" si="3"/>
        <v>-1</v>
      </c>
      <c r="AA19" s="101">
        <f t="shared" si="4"/>
        <v>0</v>
      </c>
      <c r="AB19" s="102">
        <f t="shared" si="5"/>
        <v>0</v>
      </c>
      <c r="AG19" s="195">
        <f t="shared" si="6"/>
        <v>2</v>
      </c>
      <c r="AI19" s="6">
        <f t="shared" si="7"/>
        <v>0</v>
      </c>
      <c r="AJ19" s="6">
        <f t="shared" si="8"/>
        <v>0</v>
      </c>
      <c r="AK19" s="6">
        <f t="shared" si="9"/>
        <v>-1</v>
      </c>
      <c r="AL19" s="6">
        <f t="shared" si="10"/>
        <v>0</v>
      </c>
      <c r="AM19" s="6">
        <f t="shared" si="11"/>
        <v>0</v>
      </c>
      <c r="AN19" s="6">
        <f t="shared" si="12"/>
        <v>0</v>
      </c>
      <c r="AO19" s="6">
        <f t="shared" si="13"/>
        <v>0</v>
      </c>
      <c r="AP19" s="6">
        <f t="shared" si="14"/>
        <v>0</v>
      </c>
      <c r="AQ19" s="6">
        <f t="shared" si="15"/>
        <v>0</v>
      </c>
      <c r="AR19" s="6">
        <f t="shared" si="16"/>
        <v>0</v>
      </c>
      <c r="AS19" s="6">
        <f t="shared" si="17"/>
        <v>0</v>
      </c>
      <c r="AT19" s="6">
        <f t="shared" si="18"/>
        <v>0</v>
      </c>
      <c r="AU19" s="6">
        <f t="shared" si="19"/>
        <v>0</v>
      </c>
      <c r="AV19" s="6">
        <f t="shared" si="20"/>
        <v>0</v>
      </c>
      <c r="AW19" s="6">
        <f t="shared" si="21"/>
        <v>0</v>
      </c>
      <c r="AX19" s="6">
        <f t="shared" si="22"/>
        <v>0</v>
      </c>
      <c r="AY19" s="6">
        <f t="shared" si="23"/>
        <v>0</v>
      </c>
      <c r="AZ19" s="6">
        <f t="shared" si="24"/>
        <v>0</v>
      </c>
      <c r="BA19" s="6">
        <f t="shared" si="25"/>
        <v>0</v>
      </c>
      <c r="BB19" s="6">
        <f t="shared" si="26"/>
        <v>0</v>
      </c>
      <c r="BC19" s="6">
        <f t="shared" si="27"/>
        <v>-1</v>
      </c>
    </row>
    <row r="20" spans="1:55" x14ac:dyDescent="0.25">
      <c r="A20" s="3">
        <v>14</v>
      </c>
      <c r="B20" s="8" t="s">
        <v>117</v>
      </c>
      <c r="C20" s="45" t="s">
        <v>48</v>
      </c>
      <c r="D20" s="43"/>
      <c r="E20" s="43"/>
      <c r="F20" s="43"/>
      <c r="G20" s="43" t="s">
        <v>299</v>
      </c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85"/>
      <c r="T20" s="43"/>
      <c r="U20" s="43"/>
      <c r="V20" s="43"/>
      <c r="W20" s="105">
        <f t="shared" si="0"/>
        <v>1</v>
      </c>
      <c r="X20" s="101">
        <f t="shared" si="1"/>
        <v>0</v>
      </c>
      <c r="Y20" s="101">
        <f t="shared" si="2"/>
        <v>0</v>
      </c>
      <c r="Z20" s="101">
        <f t="shared" si="3"/>
        <v>-1</v>
      </c>
      <c r="AA20" s="101">
        <f t="shared" si="4"/>
        <v>0</v>
      </c>
      <c r="AB20" s="102" t="e">
        <f t="shared" si="5"/>
        <v>#DIV/0!</v>
      </c>
      <c r="AG20" s="195">
        <f t="shared" si="6"/>
        <v>1</v>
      </c>
      <c r="AI20" s="6">
        <f t="shared" si="7"/>
        <v>-1</v>
      </c>
      <c r="AJ20" s="6">
        <f t="shared" si="8"/>
        <v>0</v>
      </c>
      <c r="AK20" s="6">
        <f t="shared" si="9"/>
        <v>0</v>
      </c>
      <c r="AL20" s="6">
        <f t="shared" si="10"/>
        <v>0</v>
      </c>
      <c r="AM20" s="6">
        <f t="shared" si="11"/>
        <v>0</v>
      </c>
      <c r="AN20" s="6">
        <f t="shared" si="12"/>
        <v>0</v>
      </c>
      <c r="AO20" s="6">
        <f t="shared" si="13"/>
        <v>0</v>
      </c>
      <c r="AP20" s="6">
        <f t="shared" si="14"/>
        <v>0</v>
      </c>
      <c r="AQ20" s="6">
        <f t="shared" si="15"/>
        <v>0</v>
      </c>
      <c r="AR20" s="6">
        <f t="shared" si="16"/>
        <v>0</v>
      </c>
      <c r="AS20" s="6">
        <f t="shared" si="17"/>
        <v>0</v>
      </c>
      <c r="AT20" s="6">
        <f t="shared" si="18"/>
        <v>0</v>
      </c>
      <c r="AU20" s="6">
        <f t="shared" si="19"/>
        <v>0</v>
      </c>
      <c r="AV20" s="6">
        <f t="shared" si="20"/>
        <v>0</v>
      </c>
      <c r="AW20" s="6">
        <f t="shared" si="21"/>
        <v>0</v>
      </c>
      <c r="AX20" s="6">
        <f t="shared" si="22"/>
        <v>0</v>
      </c>
      <c r="AY20" s="6">
        <f t="shared" si="23"/>
        <v>0</v>
      </c>
      <c r="AZ20" s="6">
        <f t="shared" si="24"/>
        <v>0</v>
      </c>
      <c r="BA20" s="6">
        <f t="shared" si="25"/>
        <v>0</v>
      </c>
      <c r="BB20" s="6">
        <f t="shared" si="26"/>
        <v>0</v>
      </c>
      <c r="BC20" s="6">
        <f t="shared" si="27"/>
        <v>-1</v>
      </c>
    </row>
    <row r="21" spans="1:55" x14ac:dyDescent="0.25">
      <c r="A21" s="3">
        <v>15</v>
      </c>
      <c r="B21" s="8" t="s">
        <v>59</v>
      </c>
      <c r="C21" s="9" t="s">
        <v>299</v>
      </c>
      <c r="D21" s="43"/>
      <c r="E21" s="43"/>
      <c r="F21" s="43"/>
      <c r="G21" s="43" t="s">
        <v>48</v>
      </c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85"/>
      <c r="T21" s="43"/>
      <c r="U21" s="43"/>
      <c r="V21" s="43"/>
      <c r="W21" s="105">
        <f t="shared" si="0"/>
        <v>1</v>
      </c>
      <c r="X21" s="101">
        <f t="shared" si="1"/>
        <v>0</v>
      </c>
      <c r="Y21" s="101">
        <f t="shared" si="2"/>
        <v>0</v>
      </c>
      <c r="Z21" s="101">
        <f t="shared" si="3"/>
        <v>-1</v>
      </c>
      <c r="AA21" s="101">
        <f t="shared" si="4"/>
        <v>0</v>
      </c>
      <c r="AB21" s="102" t="e">
        <f t="shared" si="5"/>
        <v>#DIV/0!</v>
      </c>
      <c r="AC21" s="6"/>
      <c r="AD21" s="6"/>
      <c r="AG21" s="195">
        <f t="shared" si="6"/>
        <v>1</v>
      </c>
      <c r="AI21" s="6">
        <f t="shared" si="7"/>
        <v>0</v>
      </c>
      <c r="AJ21" s="6">
        <f t="shared" si="8"/>
        <v>0</v>
      </c>
      <c r="AK21" s="6">
        <f t="shared" si="9"/>
        <v>0</v>
      </c>
      <c r="AL21" s="6">
        <f t="shared" si="10"/>
        <v>0</v>
      </c>
      <c r="AM21" s="6">
        <f t="shared" si="11"/>
        <v>-1</v>
      </c>
      <c r="AN21" s="6">
        <f t="shared" si="12"/>
        <v>0</v>
      </c>
      <c r="AO21" s="6">
        <f t="shared" si="13"/>
        <v>0</v>
      </c>
      <c r="AP21" s="6">
        <f t="shared" si="14"/>
        <v>0</v>
      </c>
      <c r="AQ21" s="6">
        <f t="shared" si="15"/>
        <v>0</v>
      </c>
      <c r="AR21" s="6">
        <f t="shared" si="16"/>
        <v>0</v>
      </c>
      <c r="AS21" s="6">
        <f t="shared" si="17"/>
        <v>0</v>
      </c>
      <c r="AT21" s="6">
        <f t="shared" si="18"/>
        <v>0</v>
      </c>
      <c r="AU21" s="6">
        <f t="shared" si="19"/>
        <v>0</v>
      </c>
      <c r="AV21" s="6">
        <f t="shared" si="20"/>
        <v>0</v>
      </c>
      <c r="AW21" s="6">
        <f t="shared" si="21"/>
        <v>0</v>
      </c>
      <c r="AX21" s="6">
        <f t="shared" si="22"/>
        <v>0</v>
      </c>
      <c r="AY21" s="6">
        <f t="shared" si="23"/>
        <v>0</v>
      </c>
      <c r="AZ21" s="6">
        <f t="shared" si="24"/>
        <v>0</v>
      </c>
      <c r="BA21" s="6">
        <f t="shared" si="25"/>
        <v>0</v>
      </c>
      <c r="BB21" s="6">
        <f t="shared" si="26"/>
        <v>0</v>
      </c>
      <c r="BC21" s="6">
        <f t="shared" si="27"/>
        <v>-1</v>
      </c>
    </row>
    <row r="22" spans="1:55" x14ac:dyDescent="0.25">
      <c r="A22" s="3">
        <v>16</v>
      </c>
      <c r="B22" s="8" t="s">
        <v>54</v>
      </c>
      <c r="C22" s="45"/>
      <c r="D22" s="43"/>
      <c r="E22" s="43" t="s">
        <v>299</v>
      </c>
      <c r="F22" s="43"/>
      <c r="G22" s="43" t="s">
        <v>48</v>
      </c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85"/>
      <c r="T22" s="43"/>
      <c r="U22" s="43"/>
      <c r="V22" s="43"/>
      <c r="W22" s="105">
        <f t="shared" si="0"/>
        <v>1</v>
      </c>
      <c r="X22" s="101">
        <f t="shared" si="1"/>
        <v>0</v>
      </c>
      <c r="Y22" s="101">
        <f t="shared" si="2"/>
        <v>0</v>
      </c>
      <c r="Z22" s="101">
        <f t="shared" si="3"/>
        <v>-1</v>
      </c>
      <c r="AA22" s="101">
        <f t="shared" si="4"/>
        <v>0</v>
      </c>
      <c r="AB22" s="102" t="e">
        <f t="shared" si="5"/>
        <v>#DIV/0!</v>
      </c>
      <c r="AC22" s="6" t="s">
        <v>69</v>
      </c>
      <c r="AD22" s="6"/>
      <c r="AG22" s="195">
        <f t="shared" si="6"/>
        <v>1</v>
      </c>
      <c r="AI22" s="6">
        <f t="shared" si="7"/>
        <v>0</v>
      </c>
      <c r="AJ22" s="6">
        <f t="shared" si="8"/>
        <v>0</v>
      </c>
      <c r="AK22" s="6">
        <f t="shared" si="9"/>
        <v>0</v>
      </c>
      <c r="AL22" s="6">
        <f t="shared" si="10"/>
        <v>0</v>
      </c>
      <c r="AM22" s="6">
        <f t="shared" si="11"/>
        <v>-1</v>
      </c>
      <c r="AN22" s="6">
        <f t="shared" si="12"/>
        <v>0</v>
      </c>
      <c r="AO22" s="6">
        <f t="shared" si="13"/>
        <v>0</v>
      </c>
      <c r="AP22" s="6">
        <f t="shared" si="14"/>
        <v>0</v>
      </c>
      <c r="AQ22" s="6">
        <f t="shared" si="15"/>
        <v>0</v>
      </c>
      <c r="AR22" s="6">
        <f t="shared" si="16"/>
        <v>0</v>
      </c>
      <c r="AS22" s="6">
        <f t="shared" si="17"/>
        <v>0</v>
      </c>
      <c r="AT22" s="6">
        <f t="shared" si="18"/>
        <v>0</v>
      </c>
      <c r="AU22" s="6">
        <f t="shared" si="19"/>
        <v>0</v>
      </c>
      <c r="AV22" s="6">
        <f t="shared" si="20"/>
        <v>0</v>
      </c>
      <c r="AW22" s="6">
        <f t="shared" si="21"/>
        <v>0</v>
      </c>
      <c r="AX22" s="6">
        <f t="shared" si="22"/>
        <v>0</v>
      </c>
      <c r="AY22" s="6">
        <f t="shared" si="23"/>
        <v>0</v>
      </c>
      <c r="AZ22" s="6">
        <f t="shared" si="24"/>
        <v>0</v>
      </c>
      <c r="BA22" s="6">
        <f t="shared" si="25"/>
        <v>0</v>
      </c>
      <c r="BB22" s="6">
        <f t="shared" si="26"/>
        <v>0</v>
      </c>
      <c r="BC22" s="6">
        <f t="shared" si="27"/>
        <v>-1</v>
      </c>
    </row>
    <row r="23" spans="1:55" x14ac:dyDescent="0.25">
      <c r="A23" s="3">
        <v>17</v>
      </c>
      <c r="B23" s="8" t="s">
        <v>120</v>
      </c>
      <c r="C23" s="9" t="s">
        <v>299</v>
      </c>
      <c r="D23" s="43"/>
      <c r="E23" s="43"/>
      <c r="F23" s="43"/>
      <c r="G23" s="43" t="s">
        <v>299</v>
      </c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85"/>
      <c r="T23" s="43"/>
      <c r="U23" s="43"/>
      <c r="V23" s="43"/>
      <c r="W23" s="105">
        <f t="shared" si="0"/>
        <v>0</v>
      </c>
      <c r="X23" s="101">
        <f t="shared" si="1"/>
        <v>0</v>
      </c>
      <c r="Y23" s="101">
        <f t="shared" si="2"/>
        <v>0</v>
      </c>
      <c r="Z23" s="101">
        <f t="shared" si="3"/>
        <v>0</v>
      </c>
      <c r="AA23" s="101">
        <f t="shared" si="4"/>
        <v>0</v>
      </c>
      <c r="AB23" s="102" t="e">
        <f t="shared" si="5"/>
        <v>#DIV/0!</v>
      </c>
      <c r="AC23" s="6"/>
      <c r="AD23" s="6"/>
      <c r="AG23" s="195">
        <f t="shared" si="6"/>
        <v>0</v>
      </c>
      <c r="AI23" s="6">
        <f t="shared" si="7"/>
        <v>0</v>
      </c>
      <c r="AJ23" s="6">
        <f t="shared" si="8"/>
        <v>0</v>
      </c>
      <c r="AK23" s="6">
        <f t="shared" si="9"/>
        <v>0</v>
      </c>
      <c r="AL23" s="6">
        <f t="shared" si="10"/>
        <v>0</v>
      </c>
      <c r="AM23" s="6">
        <f t="shared" si="11"/>
        <v>0</v>
      </c>
      <c r="AN23" s="6">
        <f t="shared" si="12"/>
        <v>0</v>
      </c>
      <c r="AO23" s="6">
        <f t="shared" si="13"/>
        <v>0</v>
      </c>
      <c r="AP23" s="6">
        <f t="shared" si="14"/>
        <v>0</v>
      </c>
      <c r="AQ23" s="6">
        <f t="shared" si="15"/>
        <v>0</v>
      </c>
      <c r="AR23" s="6">
        <f t="shared" si="16"/>
        <v>0</v>
      </c>
      <c r="AS23" s="6">
        <f t="shared" si="17"/>
        <v>0</v>
      </c>
      <c r="AT23" s="6">
        <f t="shared" si="18"/>
        <v>0</v>
      </c>
      <c r="AU23" s="6">
        <f t="shared" si="19"/>
        <v>0</v>
      </c>
      <c r="AV23" s="6">
        <f t="shared" si="20"/>
        <v>0</v>
      </c>
      <c r="AW23" s="6">
        <f t="shared" si="21"/>
        <v>0</v>
      </c>
      <c r="AX23" s="6">
        <f t="shared" si="22"/>
        <v>0</v>
      </c>
      <c r="AY23" s="6">
        <f t="shared" si="23"/>
        <v>0</v>
      </c>
      <c r="AZ23" s="6">
        <f t="shared" si="24"/>
        <v>0</v>
      </c>
      <c r="BA23" s="6">
        <f t="shared" si="25"/>
        <v>0</v>
      </c>
      <c r="BB23" s="6">
        <f t="shared" si="26"/>
        <v>0</v>
      </c>
      <c r="BC23" s="6">
        <f t="shared" si="27"/>
        <v>0</v>
      </c>
    </row>
    <row r="24" spans="1:55" x14ac:dyDescent="0.25">
      <c r="A24" s="3">
        <v>18</v>
      </c>
      <c r="B24" s="8" t="s">
        <v>61</v>
      </c>
      <c r="C24" s="45" t="s">
        <v>299</v>
      </c>
      <c r="D24" s="43"/>
      <c r="E24" s="43"/>
      <c r="F24" s="43"/>
      <c r="G24" s="43" t="s">
        <v>52</v>
      </c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85"/>
      <c r="T24" s="43"/>
      <c r="U24" s="43"/>
      <c r="V24" s="43"/>
      <c r="W24" s="105">
        <f t="shared" si="0"/>
        <v>1</v>
      </c>
      <c r="X24" s="101">
        <f t="shared" si="1"/>
        <v>0</v>
      </c>
      <c r="Y24" s="101">
        <f t="shared" si="2"/>
        <v>0</v>
      </c>
      <c r="Z24" s="101">
        <f t="shared" si="3"/>
        <v>0</v>
      </c>
      <c r="AA24" s="101">
        <f t="shared" si="4"/>
        <v>1</v>
      </c>
      <c r="AB24" s="102" t="e">
        <f t="shared" si="5"/>
        <v>#DIV/0!</v>
      </c>
      <c r="AC24" s="6"/>
      <c r="AD24" s="6"/>
      <c r="AG24" s="195">
        <f t="shared" si="6"/>
        <v>0</v>
      </c>
      <c r="AI24" s="6">
        <f t="shared" si="7"/>
        <v>0</v>
      </c>
      <c r="AJ24" s="6">
        <f t="shared" si="8"/>
        <v>0</v>
      </c>
      <c r="AK24" s="6">
        <f t="shared" si="9"/>
        <v>0</v>
      </c>
      <c r="AL24" s="6">
        <f t="shared" si="10"/>
        <v>0</v>
      </c>
      <c r="AM24" s="6">
        <f t="shared" si="11"/>
        <v>0</v>
      </c>
      <c r="AN24" s="6">
        <f t="shared" si="12"/>
        <v>0</v>
      </c>
      <c r="AO24" s="6">
        <f t="shared" si="13"/>
        <v>0</v>
      </c>
      <c r="AP24" s="6">
        <f t="shared" si="14"/>
        <v>0</v>
      </c>
      <c r="AQ24" s="6">
        <f t="shared" si="15"/>
        <v>0</v>
      </c>
      <c r="AR24" s="6">
        <f t="shared" si="16"/>
        <v>0</v>
      </c>
      <c r="AS24" s="6">
        <f t="shared" si="17"/>
        <v>0</v>
      </c>
      <c r="AT24" s="6">
        <f t="shared" si="18"/>
        <v>0</v>
      </c>
      <c r="AU24" s="6">
        <f t="shared" si="19"/>
        <v>0</v>
      </c>
      <c r="AV24" s="6">
        <f t="shared" si="20"/>
        <v>0</v>
      </c>
      <c r="AW24" s="6">
        <f t="shared" si="21"/>
        <v>0</v>
      </c>
      <c r="AX24" s="6">
        <f t="shared" si="22"/>
        <v>0</v>
      </c>
      <c r="AY24" s="6">
        <f t="shared" si="23"/>
        <v>0</v>
      </c>
      <c r="AZ24" s="6">
        <f t="shared" si="24"/>
        <v>0</v>
      </c>
      <c r="BA24" s="6">
        <f t="shared" si="25"/>
        <v>0</v>
      </c>
      <c r="BB24" s="6">
        <f t="shared" si="26"/>
        <v>0</v>
      </c>
      <c r="BC24" s="6">
        <f t="shared" si="27"/>
        <v>0</v>
      </c>
    </row>
    <row r="25" spans="1:55" x14ac:dyDescent="0.25">
      <c r="A25" s="3">
        <v>19</v>
      </c>
      <c r="B25" s="8" t="s">
        <v>57</v>
      </c>
      <c r="C25" s="45" t="s">
        <v>52</v>
      </c>
      <c r="D25" s="43"/>
      <c r="E25" s="43" t="s">
        <v>299</v>
      </c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85"/>
      <c r="T25" s="43"/>
      <c r="U25" s="43"/>
      <c r="V25" s="43"/>
      <c r="W25" s="105">
        <f t="shared" si="0"/>
        <v>1</v>
      </c>
      <c r="X25" s="101">
        <f t="shared" si="1"/>
        <v>0</v>
      </c>
      <c r="Y25" s="101">
        <f t="shared" si="2"/>
        <v>0</v>
      </c>
      <c r="Z25" s="101">
        <f t="shared" si="3"/>
        <v>0</v>
      </c>
      <c r="AA25" s="101">
        <f t="shared" si="4"/>
        <v>1</v>
      </c>
      <c r="AB25" s="102" t="e">
        <f t="shared" si="5"/>
        <v>#DIV/0!</v>
      </c>
      <c r="AC25" s="6"/>
      <c r="AD25" s="6"/>
      <c r="AG25" s="195">
        <f t="shared" si="6"/>
        <v>0</v>
      </c>
      <c r="AI25" s="6">
        <f t="shared" si="7"/>
        <v>0</v>
      </c>
      <c r="AJ25" s="6">
        <f t="shared" si="8"/>
        <v>0</v>
      </c>
      <c r="AK25" s="6">
        <f t="shared" si="9"/>
        <v>0</v>
      </c>
      <c r="AL25" s="6">
        <f t="shared" si="10"/>
        <v>0</v>
      </c>
      <c r="AM25" s="6">
        <f t="shared" si="11"/>
        <v>0</v>
      </c>
      <c r="AN25" s="6">
        <f t="shared" si="12"/>
        <v>0</v>
      </c>
      <c r="AO25" s="6">
        <f t="shared" si="13"/>
        <v>0</v>
      </c>
      <c r="AP25" s="6">
        <f t="shared" si="14"/>
        <v>0</v>
      </c>
      <c r="AQ25" s="6">
        <f t="shared" si="15"/>
        <v>0</v>
      </c>
      <c r="AR25" s="6">
        <f t="shared" si="16"/>
        <v>0</v>
      </c>
      <c r="AS25" s="6">
        <f t="shared" si="17"/>
        <v>0</v>
      </c>
      <c r="AT25" s="6">
        <f t="shared" si="18"/>
        <v>0</v>
      </c>
      <c r="AU25" s="6">
        <f t="shared" si="19"/>
        <v>0</v>
      </c>
      <c r="AV25" s="6">
        <f t="shared" si="20"/>
        <v>0</v>
      </c>
      <c r="AW25" s="6">
        <f t="shared" si="21"/>
        <v>0</v>
      </c>
      <c r="AX25" s="6">
        <f t="shared" si="22"/>
        <v>0</v>
      </c>
      <c r="AY25" s="6">
        <f t="shared" si="23"/>
        <v>0</v>
      </c>
      <c r="AZ25" s="6">
        <f t="shared" si="24"/>
        <v>0</v>
      </c>
      <c r="BA25" s="6">
        <f t="shared" si="25"/>
        <v>0</v>
      </c>
      <c r="BB25" s="6">
        <f t="shared" si="26"/>
        <v>0</v>
      </c>
      <c r="BC25" s="6">
        <f t="shared" si="27"/>
        <v>0</v>
      </c>
    </row>
    <row r="26" spans="1:55" x14ac:dyDescent="0.25">
      <c r="A26" s="3">
        <v>20</v>
      </c>
      <c r="B26" s="8" t="s">
        <v>82</v>
      </c>
      <c r="C26" s="45"/>
      <c r="D26" s="43" t="s">
        <v>52</v>
      </c>
      <c r="E26" s="43" t="s">
        <v>52</v>
      </c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85"/>
      <c r="T26" s="43"/>
      <c r="U26" s="43"/>
      <c r="V26" s="43"/>
      <c r="W26" s="105">
        <f t="shared" si="0"/>
        <v>2</v>
      </c>
      <c r="X26" s="101">
        <f t="shared" si="1"/>
        <v>0</v>
      </c>
      <c r="Y26" s="101">
        <f t="shared" si="2"/>
        <v>0</v>
      </c>
      <c r="Z26" s="101">
        <f t="shared" si="3"/>
        <v>0</v>
      </c>
      <c r="AA26" s="101">
        <f t="shared" si="4"/>
        <v>2</v>
      </c>
      <c r="AB26" s="102" t="e">
        <f t="shared" si="5"/>
        <v>#DIV/0!</v>
      </c>
      <c r="AC26" s="6"/>
      <c r="AD26" s="6"/>
      <c r="AG26" s="195">
        <f t="shared" si="6"/>
        <v>0</v>
      </c>
      <c r="AI26" s="6">
        <f t="shared" si="7"/>
        <v>0</v>
      </c>
      <c r="AJ26" s="6">
        <f t="shared" si="8"/>
        <v>0</v>
      </c>
      <c r="AK26" s="6">
        <f t="shared" si="9"/>
        <v>0</v>
      </c>
      <c r="AL26" s="6">
        <f t="shared" si="10"/>
        <v>0</v>
      </c>
      <c r="AM26" s="6">
        <f t="shared" si="11"/>
        <v>0</v>
      </c>
      <c r="AN26" s="6">
        <f t="shared" si="12"/>
        <v>0</v>
      </c>
      <c r="AO26" s="6">
        <f t="shared" si="13"/>
        <v>0</v>
      </c>
      <c r="AP26" s="6">
        <f t="shared" si="14"/>
        <v>0</v>
      </c>
      <c r="AQ26" s="6">
        <f t="shared" si="15"/>
        <v>0</v>
      </c>
      <c r="AR26" s="6">
        <f t="shared" si="16"/>
        <v>0</v>
      </c>
      <c r="AS26" s="6">
        <f t="shared" si="17"/>
        <v>0</v>
      </c>
      <c r="AT26" s="6">
        <f t="shared" si="18"/>
        <v>0</v>
      </c>
      <c r="AU26" s="6">
        <f t="shared" si="19"/>
        <v>0</v>
      </c>
      <c r="AV26" s="6">
        <f t="shared" si="20"/>
        <v>0</v>
      </c>
      <c r="AW26" s="6">
        <f t="shared" si="21"/>
        <v>0</v>
      </c>
      <c r="AX26" s="6">
        <f t="shared" si="22"/>
        <v>0</v>
      </c>
      <c r="AY26" s="6">
        <f t="shared" si="23"/>
        <v>0</v>
      </c>
      <c r="AZ26" s="6">
        <f t="shared" si="24"/>
        <v>0</v>
      </c>
      <c r="BA26" s="6">
        <f t="shared" si="25"/>
        <v>0</v>
      </c>
      <c r="BB26" s="6">
        <f t="shared" si="26"/>
        <v>0</v>
      </c>
      <c r="BC26" s="6">
        <f t="shared" si="27"/>
        <v>0</v>
      </c>
    </row>
    <row r="27" spans="1:55" x14ac:dyDescent="0.25">
      <c r="A27" s="3">
        <v>21</v>
      </c>
      <c r="B27" s="8" t="s">
        <v>136</v>
      </c>
      <c r="C27" s="45"/>
      <c r="D27" s="43" t="s">
        <v>48</v>
      </c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85"/>
      <c r="T27" s="43"/>
      <c r="U27" s="43"/>
      <c r="V27" s="43"/>
      <c r="W27" s="105">
        <f t="shared" si="0"/>
        <v>1</v>
      </c>
      <c r="X27" s="101">
        <f t="shared" si="1"/>
        <v>0</v>
      </c>
      <c r="Y27" s="101">
        <f t="shared" si="2"/>
        <v>0</v>
      </c>
      <c r="Z27" s="101">
        <f t="shared" si="3"/>
        <v>0</v>
      </c>
      <c r="AA27" s="101">
        <f t="shared" si="4"/>
        <v>0</v>
      </c>
      <c r="AB27" s="102">
        <f t="shared" si="5"/>
        <v>0</v>
      </c>
      <c r="AG27" s="195">
        <f t="shared" si="6"/>
        <v>1</v>
      </c>
      <c r="AI27" s="6">
        <f t="shared" si="7"/>
        <v>0</v>
      </c>
      <c r="AJ27" s="6">
        <f t="shared" si="8"/>
        <v>0</v>
      </c>
      <c r="AK27" s="6">
        <f t="shared" si="9"/>
        <v>0</v>
      </c>
      <c r="AL27" s="6">
        <f t="shared" si="10"/>
        <v>0</v>
      </c>
      <c r="AM27" s="6">
        <f t="shared" si="11"/>
        <v>0</v>
      </c>
      <c r="AN27" s="6">
        <f t="shared" si="12"/>
        <v>0</v>
      </c>
      <c r="AO27" s="6">
        <f t="shared" si="13"/>
        <v>0</v>
      </c>
      <c r="AP27" s="6">
        <f t="shared" si="14"/>
        <v>0</v>
      </c>
      <c r="AQ27" s="6">
        <f t="shared" si="15"/>
        <v>0</v>
      </c>
      <c r="AR27" s="6">
        <f t="shared" si="16"/>
        <v>0</v>
      </c>
      <c r="AS27" s="6">
        <f t="shared" si="17"/>
        <v>0</v>
      </c>
      <c r="AT27" s="6">
        <f t="shared" si="18"/>
        <v>0</v>
      </c>
      <c r="AU27" s="6">
        <f t="shared" si="19"/>
        <v>0</v>
      </c>
      <c r="AV27" s="6">
        <f t="shared" si="20"/>
        <v>0</v>
      </c>
      <c r="AW27" s="6">
        <f t="shared" si="21"/>
        <v>0</v>
      </c>
      <c r="AX27" s="6">
        <f t="shared" si="22"/>
        <v>0</v>
      </c>
      <c r="AY27" s="6">
        <f t="shared" si="23"/>
        <v>0</v>
      </c>
      <c r="AZ27" s="6">
        <f t="shared" si="24"/>
        <v>0</v>
      </c>
      <c r="BA27" s="6">
        <f t="shared" si="25"/>
        <v>0</v>
      </c>
      <c r="BB27" s="6">
        <f t="shared" si="26"/>
        <v>0</v>
      </c>
      <c r="BC27" s="6">
        <f t="shared" si="27"/>
        <v>0</v>
      </c>
    </row>
    <row r="28" spans="1:55" x14ac:dyDescent="0.25">
      <c r="A28" s="3">
        <v>22</v>
      </c>
      <c r="B28" s="8" t="s">
        <v>62</v>
      </c>
      <c r="C28" s="45"/>
      <c r="D28" s="43"/>
      <c r="E28" s="43"/>
      <c r="F28" s="43"/>
      <c r="G28" s="43" t="s">
        <v>48</v>
      </c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85"/>
      <c r="T28" s="43"/>
      <c r="U28" s="43"/>
      <c r="V28" s="43"/>
      <c r="W28" s="105">
        <f t="shared" si="0"/>
        <v>1</v>
      </c>
      <c r="X28" s="101">
        <f t="shared" si="1"/>
        <v>0</v>
      </c>
      <c r="Y28" s="101">
        <f t="shared" si="2"/>
        <v>0</v>
      </c>
      <c r="Z28" s="101">
        <f t="shared" si="3"/>
        <v>-1</v>
      </c>
      <c r="AA28" s="101">
        <f t="shared" si="4"/>
        <v>0</v>
      </c>
      <c r="AB28" s="102" t="e">
        <f t="shared" si="5"/>
        <v>#DIV/0!</v>
      </c>
      <c r="AG28" s="195">
        <f t="shared" si="6"/>
        <v>1</v>
      </c>
      <c r="AI28" s="6">
        <f t="shared" si="7"/>
        <v>0</v>
      </c>
      <c r="AJ28" s="6">
        <f t="shared" si="8"/>
        <v>0</v>
      </c>
      <c r="AK28" s="6">
        <f t="shared" si="9"/>
        <v>0</v>
      </c>
      <c r="AL28" s="6">
        <f t="shared" si="10"/>
        <v>0</v>
      </c>
      <c r="AM28" s="6">
        <f t="shared" si="11"/>
        <v>-1</v>
      </c>
      <c r="AN28" s="6">
        <f t="shared" si="12"/>
        <v>0</v>
      </c>
      <c r="AO28" s="6">
        <f t="shared" si="13"/>
        <v>0</v>
      </c>
      <c r="AP28" s="6">
        <f t="shared" si="14"/>
        <v>0</v>
      </c>
      <c r="AQ28" s="6">
        <f t="shared" si="15"/>
        <v>0</v>
      </c>
      <c r="AR28" s="6">
        <f t="shared" si="16"/>
        <v>0</v>
      </c>
      <c r="AS28" s="6">
        <f t="shared" si="17"/>
        <v>0</v>
      </c>
      <c r="AT28" s="6">
        <f t="shared" si="18"/>
        <v>0</v>
      </c>
      <c r="AU28" s="6">
        <f t="shared" si="19"/>
        <v>0</v>
      </c>
      <c r="AV28" s="6">
        <f t="shared" si="20"/>
        <v>0</v>
      </c>
      <c r="AW28" s="6">
        <f t="shared" si="21"/>
        <v>0</v>
      </c>
      <c r="AX28" s="6">
        <f t="shared" si="22"/>
        <v>0</v>
      </c>
      <c r="AY28" s="6">
        <f t="shared" si="23"/>
        <v>0</v>
      </c>
      <c r="AZ28" s="6">
        <f t="shared" si="24"/>
        <v>0</v>
      </c>
      <c r="BA28" s="6">
        <f t="shared" si="25"/>
        <v>0</v>
      </c>
      <c r="BB28" s="6">
        <f t="shared" si="26"/>
        <v>0</v>
      </c>
      <c r="BC28" s="6">
        <f t="shared" si="27"/>
        <v>-1</v>
      </c>
    </row>
    <row r="29" spans="1:55" x14ac:dyDescent="0.25">
      <c r="A29" s="3">
        <v>23</v>
      </c>
      <c r="B29" s="8" t="s">
        <v>125</v>
      </c>
      <c r="C29" s="45"/>
      <c r="D29" s="43" t="s">
        <v>52</v>
      </c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85"/>
      <c r="T29" s="43"/>
      <c r="U29" s="43"/>
      <c r="V29" s="43"/>
      <c r="W29" s="105">
        <f t="shared" si="0"/>
        <v>1</v>
      </c>
      <c r="X29" s="101">
        <f t="shared" si="1"/>
        <v>0</v>
      </c>
      <c r="Y29" s="101">
        <f t="shared" si="2"/>
        <v>0</v>
      </c>
      <c r="Z29" s="101">
        <f t="shared" si="3"/>
        <v>0</v>
      </c>
      <c r="AA29" s="101">
        <f t="shared" si="4"/>
        <v>1</v>
      </c>
      <c r="AB29" s="102" t="e">
        <f t="shared" si="5"/>
        <v>#DIV/0!</v>
      </c>
      <c r="AC29" s="6"/>
      <c r="AD29" s="6"/>
      <c r="AG29" s="195">
        <f t="shared" si="6"/>
        <v>0</v>
      </c>
      <c r="AI29" s="6">
        <f t="shared" si="7"/>
        <v>0</v>
      </c>
      <c r="AJ29" s="6">
        <f t="shared" si="8"/>
        <v>0</v>
      </c>
      <c r="AK29" s="6">
        <f t="shared" si="9"/>
        <v>0</v>
      </c>
      <c r="AL29" s="6">
        <f t="shared" si="10"/>
        <v>0</v>
      </c>
      <c r="AM29" s="6">
        <f t="shared" si="11"/>
        <v>0</v>
      </c>
      <c r="AN29" s="6">
        <f t="shared" si="12"/>
        <v>0</v>
      </c>
      <c r="AO29" s="6">
        <f t="shared" si="13"/>
        <v>0</v>
      </c>
      <c r="AP29" s="6">
        <f t="shared" si="14"/>
        <v>0</v>
      </c>
      <c r="AQ29" s="6">
        <f t="shared" si="15"/>
        <v>0</v>
      </c>
      <c r="AR29" s="6">
        <f t="shared" si="16"/>
        <v>0</v>
      </c>
      <c r="AS29" s="6">
        <f t="shared" si="17"/>
        <v>0</v>
      </c>
      <c r="AT29" s="6">
        <f t="shared" si="18"/>
        <v>0</v>
      </c>
      <c r="AU29" s="6">
        <f t="shared" si="19"/>
        <v>0</v>
      </c>
      <c r="AV29" s="6">
        <f t="shared" si="20"/>
        <v>0</v>
      </c>
      <c r="AW29" s="6">
        <f t="shared" si="21"/>
        <v>0</v>
      </c>
      <c r="AX29" s="6">
        <f t="shared" si="22"/>
        <v>0</v>
      </c>
      <c r="AY29" s="6">
        <f t="shared" si="23"/>
        <v>0</v>
      </c>
      <c r="AZ29" s="6">
        <f t="shared" si="24"/>
        <v>0</v>
      </c>
      <c r="BA29" s="6">
        <f t="shared" si="25"/>
        <v>0</v>
      </c>
      <c r="BB29" s="6">
        <f t="shared" si="26"/>
        <v>0</v>
      </c>
      <c r="BC29" s="6">
        <f t="shared" si="27"/>
        <v>0</v>
      </c>
    </row>
    <row r="30" spans="1:55" x14ac:dyDescent="0.25">
      <c r="A30" s="3">
        <v>24</v>
      </c>
      <c r="B30" s="8" t="s">
        <v>116</v>
      </c>
      <c r="C30" s="150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85"/>
      <c r="T30" s="43"/>
      <c r="U30" s="43"/>
      <c r="V30" s="43"/>
      <c r="W30" s="105">
        <f t="shared" si="0"/>
        <v>0</v>
      </c>
      <c r="X30" s="101">
        <f t="shared" si="1"/>
        <v>0</v>
      </c>
      <c r="Y30" s="101">
        <f t="shared" si="2"/>
        <v>0</v>
      </c>
      <c r="Z30" s="101">
        <f t="shared" si="3"/>
        <v>0</v>
      </c>
      <c r="AA30" s="101">
        <f t="shared" si="4"/>
        <v>0</v>
      </c>
      <c r="AB30" s="102" t="e">
        <f t="shared" si="5"/>
        <v>#DIV/0!</v>
      </c>
      <c r="AC30" s="6"/>
      <c r="AD30" s="6"/>
      <c r="AG30" s="195">
        <f t="shared" si="6"/>
        <v>0</v>
      </c>
      <c r="AI30" s="6">
        <f t="shared" si="7"/>
        <v>0</v>
      </c>
      <c r="AJ30" s="6">
        <f t="shared" si="8"/>
        <v>0</v>
      </c>
      <c r="AK30" s="6">
        <f t="shared" si="9"/>
        <v>0</v>
      </c>
      <c r="AL30" s="6">
        <f t="shared" si="10"/>
        <v>0</v>
      </c>
      <c r="AM30" s="6">
        <f t="shared" si="11"/>
        <v>0</v>
      </c>
      <c r="AN30" s="6">
        <f t="shared" si="12"/>
        <v>0</v>
      </c>
      <c r="AO30" s="6">
        <f t="shared" si="13"/>
        <v>0</v>
      </c>
      <c r="AP30" s="6">
        <f t="shared" si="14"/>
        <v>0</v>
      </c>
      <c r="AQ30" s="6">
        <f t="shared" si="15"/>
        <v>0</v>
      </c>
      <c r="AR30" s="6">
        <f t="shared" si="16"/>
        <v>0</v>
      </c>
      <c r="AS30" s="6">
        <f t="shared" si="17"/>
        <v>0</v>
      </c>
      <c r="AT30" s="6">
        <f t="shared" si="18"/>
        <v>0</v>
      </c>
      <c r="AU30" s="6">
        <f t="shared" si="19"/>
        <v>0</v>
      </c>
      <c r="AV30" s="6">
        <f t="shared" si="20"/>
        <v>0</v>
      </c>
      <c r="AW30" s="6">
        <f t="shared" si="21"/>
        <v>0</v>
      </c>
      <c r="AX30" s="6">
        <f t="shared" si="22"/>
        <v>0</v>
      </c>
      <c r="AY30" s="6">
        <f t="shared" si="23"/>
        <v>0</v>
      </c>
      <c r="AZ30" s="6">
        <f t="shared" si="24"/>
        <v>0</v>
      </c>
      <c r="BA30" s="6">
        <f t="shared" si="25"/>
        <v>0</v>
      </c>
      <c r="BB30" s="6">
        <f t="shared" si="26"/>
        <v>0</v>
      </c>
      <c r="BC30" s="6">
        <f t="shared" si="27"/>
        <v>0</v>
      </c>
    </row>
    <row r="31" spans="1:55" x14ac:dyDescent="0.25">
      <c r="A31" s="3">
        <v>25</v>
      </c>
      <c r="B31" s="8" t="s">
        <v>130</v>
      </c>
      <c r="C31" s="81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85"/>
      <c r="T31" s="43"/>
      <c r="U31" s="43"/>
      <c r="V31" s="43"/>
      <c r="W31" s="105">
        <f t="shared" ref="W31" si="28">SUM(COUNTIF(C31:V31,"h"),COUNTIF(C31:V31,"w"),COUNTIF(C31:V31,"k"),COUNTIF(C31:V31,"t"))</f>
        <v>0</v>
      </c>
      <c r="X31" s="101">
        <f t="shared" ref="X31" si="29">COUNTIF(C31:V31,"w")</f>
        <v>0</v>
      </c>
      <c r="Y31" s="101">
        <f t="shared" ref="Y31" si="30">COUNTIF(C31:V31,"k")</f>
        <v>0</v>
      </c>
      <c r="Z31" s="101">
        <f t="shared" ref="Z31:Z34" si="31">BC31</f>
        <v>0</v>
      </c>
      <c r="AA31" s="101">
        <f t="shared" ref="AA31" si="32">COUNTIF(C31:V31,"t")</f>
        <v>0</v>
      </c>
      <c r="AB31" s="102" t="e">
        <f t="shared" ref="AB31" si="33">(X31/(W31+Z31-AA31-Y31))*100</f>
        <v>#DIV/0!</v>
      </c>
      <c r="AC31" s="6"/>
      <c r="AD31" s="6"/>
      <c r="AI31" s="6">
        <f t="shared" ref="AI31:AW31" si="34">IF(C$34="ja",0,IF(C31="h",-1,IF(C31="k",0,IF(C31="w",-1,0))))</f>
        <v>0</v>
      </c>
      <c r="AJ31" s="6">
        <f t="shared" si="34"/>
        <v>0</v>
      </c>
      <c r="AK31" s="6">
        <f t="shared" si="34"/>
        <v>0</v>
      </c>
      <c r="AL31" s="6">
        <f t="shared" si="34"/>
        <v>0</v>
      </c>
      <c r="AM31" s="6">
        <f t="shared" si="34"/>
        <v>0</v>
      </c>
      <c r="AN31" s="6">
        <f t="shared" si="34"/>
        <v>0</v>
      </c>
      <c r="AO31" s="6">
        <f t="shared" si="34"/>
        <v>0</v>
      </c>
      <c r="AP31" s="6">
        <f t="shared" si="34"/>
        <v>0</v>
      </c>
      <c r="AQ31" s="6">
        <f t="shared" si="34"/>
        <v>0</v>
      </c>
      <c r="AR31" s="6">
        <f t="shared" si="34"/>
        <v>0</v>
      </c>
      <c r="AS31" s="6">
        <f t="shared" si="34"/>
        <v>0</v>
      </c>
      <c r="AT31" s="6">
        <f t="shared" si="34"/>
        <v>0</v>
      </c>
      <c r="AU31" s="6">
        <f t="shared" si="34"/>
        <v>0</v>
      </c>
      <c r="AV31" s="6">
        <f t="shared" si="34"/>
        <v>0</v>
      </c>
      <c r="AW31" s="6">
        <f t="shared" si="34"/>
        <v>0</v>
      </c>
      <c r="AX31" s="6">
        <f t="shared" ref="AX31" si="35">IF(R$34="ja",0,IF(R31="h",-1,IF(R31="k",0,IF(R31="w",-1,0))))</f>
        <v>0</v>
      </c>
      <c r="AY31" s="6">
        <f t="shared" ref="AY31:BB31" si="36">IF(S$34="ja",0,IF(S31="h",-1,IF(S31="k",0,IF(S31="w",-1,0))))</f>
        <v>0</v>
      </c>
      <c r="AZ31" s="6">
        <f t="shared" si="36"/>
        <v>0</v>
      </c>
      <c r="BA31" s="6">
        <f t="shared" si="36"/>
        <v>0</v>
      </c>
      <c r="BB31" s="6">
        <f t="shared" si="36"/>
        <v>0</v>
      </c>
      <c r="BC31" s="6">
        <f t="shared" ref="BC31" si="37">SUM(AI31:BB31)</f>
        <v>0</v>
      </c>
    </row>
    <row r="32" spans="1:55" x14ac:dyDescent="0.25">
      <c r="A32" s="3"/>
      <c r="B32" s="7"/>
      <c r="C32" s="43">
        <f t="shared" ref="C32:V32" si="38">SUM(COUNTIF(C7:C31,"h"),COUNTIF(C7:C31,"w"),COUNTIF(C7:C31,"k"))</f>
        <v>8</v>
      </c>
      <c r="D32" s="43">
        <f t="shared" si="38"/>
        <v>11</v>
      </c>
      <c r="E32" s="43">
        <f t="shared" si="38"/>
        <v>8</v>
      </c>
      <c r="F32" s="43">
        <f t="shared" si="38"/>
        <v>0</v>
      </c>
      <c r="G32" s="43">
        <f t="shared" si="38"/>
        <v>7</v>
      </c>
      <c r="H32" s="43">
        <f t="shared" si="38"/>
        <v>0</v>
      </c>
      <c r="I32" s="43">
        <f t="shared" si="38"/>
        <v>0</v>
      </c>
      <c r="J32" s="43">
        <f t="shared" si="38"/>
        <v>0</v>
      </c>
      <c r="K32" s="43">
        <f t="shared" si="38"/>
        <v>0</v>
      </c>
      <c r="L32" s="43">
        <f t="shared" si="38"/>
        <v>0</v>
      </c>
      <c r="M32" s="43">
        <f t="shared" si="38"/>
        <v>0</v>
      </c>
      <c r="N32" s="43">
        <f t="shared" si="38"/>
        <v>0</v>
      </c>
      <c r="O32" s="43">
        <f t="shared" si="38"/>
        <v>0</v>
      </c>
      <c r="P32" s="43">
        <f t="shared" si="38"/>
        <v>0</v>
      </c>
      <c r="Q32" s="43">
        <f t="shared" si="38"/>
        <v>0</v>
      </c>
      <c r="R32" s="43">
        <f t="shared" si="38"/>
        <v>0</v>
      </c>
      <c r="S32" s="43">
        <f t="shared" si="38"/>
        <v>0</v>
      </c>
      <c r="T32" s="43">
        <f t="shared" si="38"/>
        <v>0</v>
      </c>
      <c r="U32" s="43">
        <f t="shared" si="38"/>
        <v>0</v>
      </c>
      <c r="V32" s="43">
        <f t="shared" si="38"/>
        <v>0</v>
      </c>
      <c r="W32" s="105">
        <f>SUM(COUNTIF(C32:V32,"h"),COUNTIF(C32:V32,"w"),COUNTIF(C32:V32,"k"))</f>
        <v>0</v>
      </c>
      <c r="X32" s="142" t="s">
        <v>192</v>
      </c>
      <c r="Y32" s="142"/>
      <c r="Z32" s="101">
        <f t="shared" si="31"/>
        <v>0</v>
      </c>
      <c r="AA32" s="133"/>
      <c r="AB32" s="90"/>
      <c r="AC32" s="6"/>
      <c r="AD32" s="6"/>
      <c r="AE32" s="6"/>
      <c r="AF32" s="65" t="s">
        <v>84</v>
      </c>
      <c r="AG32" s="195">
        <f>SUM(AG7:AG30)</f>
        <v>34</v>
      </c>
    </row>
    <row r="33" spans="1:31" x14ac:dyDescent="0.25">
      <c r="A33" s="7"/>
      <c r="X33" s="143"/>
      <c r="Y33" s="143"/>
      <c r="Z33" s="101">
        <f t="shared" si="31"/>
        <v>0</v>
      </c>
      <c r="AA33" s="133"/>
      <c r="AB33" s="91"/>
      <c r="AC33" s="6"/>
      <c r="AD33" s="6"/>
      <c r="AE33" s="6"/>
    </row>
    <row r="34" spans="1:31" x14ac:dyDescent="0.25">
      <c r="A34" s="7"/>
      <c r="B34" s="7" t="s">
        <v>83</v>
      </c>
      <c r="C34" s="134" t="str">
        <f t="shared" ref="C34:V34" si="39">IF(C32&gt;10,"ja","nee")</f>
        <v>nee</v>
      </c>
      <c r="D34" s="134" t="str">
        <f t="shared" si="39"/>
        <v>ja</v>
      </c>
      <c r="E34" s="134" t="str">
        <f t="shared" si="39"/>
        <v>nee</v>
      </c>
      <c r="F34" s="134" t="str">
        <f t="shared" si="39"/>
        <v>nee</v>
      </c>
      <c r="G34" s="134" t="str">
        <f t="shared" si="39"/>
        <v>nee</v>
      </c>
      <c r="H34" s="134" t="str">
        <f t="shared" si="39"/>
        <v>nee</v>
      </c>
      <c r="I34" s="134" t="str">
        <f t="shared" si="39"/>
        <v>nee</v>
      </c>
      <c r="J34" s="134" t="str">
        <f t="shared" si="39"/>
        <v>nee</v>
      </c>
      <c r="K34" s="134" t="str">
        <f t="shared" si="39"/>
        <v>nee</v>
      </c>
      <c r="L34" s="134" t="str">
        <f t="shared" si="39"/>
        <v>nee</v>
      </c>
      <c r="M34" s="134" t="str">
        <f t="shared" si="39"/>
        <v>nee</v>
      </c>
      <c r="N34" s="134" t="str">
        <f t="shared" si="39"/>
        <v>nee</v>
      </c>
      <c r="O34" s="134" t="str">
        <f t="shared" si="39"/>
        <v>nee</v>
      </c>
      <c r="P34" s="134" t="str">
        <f t="shared" si="39"/>
        <v>nee</v>
      </c>
      <c r="Q34" s="134" t="str">
        <f t="shared" si="39"/>
        <v>nee</v>
      </c>
      <c r="R34" s="134" t="str">
        <f t="shared" si="39"/>
        <v>nee</v>
      </c>
      <c r="S34" s="134" t="str">
        <f t="shared" si="39"/>
        <v>nee</v>
      </c>
      <c r="T34" s="134" t="str">
        <f t="shared" si="39"/>
        <v>nee</v>
      </c>
      <c r="U34" s="134" t="str">
        <f t="shared" si="39"/>
        <v>nee</v>
      </c>
      <c r="V34" s="134" t="str">
        <f t="shared" si="39"/>
        <v>nee</v>
      </c>
      <c r="W34" s="105">
        <f>SUM(W7:W31)</f>
        <v>41</v>
      </c>
      <c r="X34" s="6"/>
      <c r="Y34" s="6"/>
      <c r="Z34" s="101">
        <f t="shared" si="31"/>
        <v>0</v>
      </c>
      <c r="AA34" s="133"/>
      <c r="AB34" s="6"/>
      <c r="AC34" s="6"/>
      <c r="AD34" s="6"/>
      <c r="AE34" s="6"/>
    </row>
    <row r="35" spans="1:31" x14ac:dyDescent="0.25">
      <c r="A35" s="7"/>
      <c r="B35" s="7"/>
      <c r="C35" s="7"/>
      <c r="D35" s="7"/>
      <c r="E35" s="19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6"/>
      <c r="T35" s="6"/>
      <c r="U35" s="6"/>
      <c r="V35" s="6"/>
      <c r="W35" s="6"/>
    </row>
    <row r="36" spans="1:31" x14ac:dyDescent="0.25">
      <c r="A36" s="7"/>
      <c r="C36" s="7"/>
      <c r="D36" s="7"/>
      <c r="E36" s="19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6"/>
      <c r="T36" s="6"/>
      <c r="U36" s="6"/>
      <c r="V36" s="6"/>
      <c r="W36" s="6"/>
    </row>
    <row r="37" spans="1:31" x14ac:dyDescent="0.25">
      <c r="A37" s="7"/>
      <c r="B37" s="19"/>
      <c r="C37" s="7"/>
      <c r="D37" s="7"/>
      <c r="E37" s="19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6"/>
      <c r="T37" s="6"/>
      <c r="U37" s="6"/>
      <c r="V37" s="6"/>
      <c r="W37" s="6"/>
    </row>
    <row r="38" spans="1:31" x14ac:dyDescent="0.25">
      <c r="A38" s="7"/>
      <c r="B38" s="21" t="s">
        <v>87</v>
      </c>
      <c r="C38" s="20">
        <v>3</v>
      </c>
      <c r="D38" s="7"/>
      <c r="E38" s="19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6"/>
      <c r="T38" s="6"/>
      <c r="U38" s="6"/>
      <c r="V38" s="6"/>
      <c r="W38" s="6"/>
    </row>
    <row r="39" spans="1:31" x14ac:dyDescent="0.25">
      <c r="A39" s="7"/>
      <c r="B39" s="22" t="s">
        <v>88</v>
      </c>
      <c r="C39" s="20">
        <v>0</v>
      </c>
      <c r="D39" s="7"/>
      <c r="E39" s="19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6"/>
      <c r="T39" s="6"/>
      <c r="U39" s="6"/>
      <c r="V39" s="6"/>
      <c r="W39" s="6"/>
    </row>
    <row r="40" spans="1:31" x14ac:dyDescent="0.25">
      <c r="A40" s="7"/>
      <c r="B40" s="15" t="s">
        <v>90</v>
      </c>
      <c r="C40" s="23">
        <v>1</v>
      </c>
      <c r="D40" s="7"/>
      <c r="E40" s="19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6"/>
      <c r="T40" s="93" t="s">
        <v>85</v>
      </c>
      <c r="V40" s="6"/>
      <c r="W40" s="6"/>
    </row>
    <row r="41" spans="1:31" x14ac:dyDescent="0.25">
      <c r="A41" s="7"/>
      <c r="B41" s="7"/>
      <c r="C41" s="24">
        <f>SUM(C38:C40)</f>
        <v>4</v>
      </c>
      <c r="D41" s="7"/>
      <c r="E41" s="19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6"/>
      <c r="T41" s="94" t="s">
        <v>86</v>
      </c>
      <c r="V41" s="6"/>
      <c r="W41" s="6"/>
    </row>
    <row r="42" spans="1:31" x14ac:dyDescent="0.25">
      <c r="A42" s="7"/>
      <c r="B42" s="7"/>
      <c r="C42" s="7"/>
      <c r="D42" s="7"/>
      <c r="E42" s="19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6"/>
      <c r="U42" s="6"/>
      <c r="V42" s="6"/>
      <c r="W42" s="6"/>
    </row>
    <row r="43" spans="1:31" x14ac:dyDescent="0.25">
      <c r="A43" s="7"/>
      <c r="B43" s="7"/>
      <c r="C43" s="7"/>
      <c r="D43" s="7"/>
      <c r="E43" s="19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6"/>
      <c r="T43" s="51" t="s">
        <v>89</v>
      </c>
      <c r="U43" s="141" t="s">
        <v>48</v>
      </c>
      <c r="V43" s="6"/>
      <c r="W43" s="6"/>
    </row>
    <row r="44" spans="1:31" x14ac:dyDescent="0.25">
      <c r="E44" s="2"/>
      <c r="H44" s="1"/>
      <c r="T44" s="140" t="s">
        <v>30</v>
      </c>
      <c r="U44" s="139" t="s">
        <v>74</v>
      </c>
    </row>
    <row r="45" spans="1:31" x14ac:dyDescent="0.25">
      <c r="T45" s="96" t="s">
        <v>92</v>
      </c>
      <c r="U45" s="138" t="s">
        <v>50</v>
      </c>
    </row>
    <row r="46" spans="1:31" x14ac:dyDescent="0.25">
      <c r="T46" s="97" t="s">
        <v>93</v>
      </c>
      <c r="U46" s="12">
        <v>1</v>
      </c>
    </row>
    <row r="47" spans="1:31" x14ac:dyDescent="0.25">
      <c r="T47" s="137" t="s">
        <v>32</v>
      </c>
      <c r="U47" s="136" t="s">
        <v>52</v>
      </c>
    </row>
    <row r="48" spans="1:31" x14ac:dyDescent="0.25">
      <c r="T48" s="99" t="s">
        <v>94</v>
      </c>
      <c r="U48" s="135">
        <v>1</v>
      </c>
    </row>
    <row r="49" spans="20:21" x14ac:dyDescent="0.25">
      <c r="T49" s="65"/>
      <c r="U49" s="3"/>
    </row>
    <row r="50" spans="20:21" x14ac:dyDescent="0.25">
      <c r="T50" s="129" t="s">
        <v>87</v>
      </c>
      <c r="U50" s="6"/>
    </row>
    <row r="51" spans="20:21" x14ac:dyDescent="0.25">
      <c r="T51" s="130" t="s">
        <v>88</v>
      </c>
      <c r="U51" s="6"/>
    </row>
    <row r="52" spans="20:21" x14ac:dyDescent="0.25">
      <c r="T52" s="131" t="s">
        <v>95</v>
      </c>
      <c r="U52" s="6"/>
    </row>
    <row r="53" spans="20:21" x14ac:dyDescent="0.25">
      <c r="T53" s="132" t="s">
        <v>91</v>
      </c>
      <c r="U53" s="6"/>
    </row>
  </sheetData>
  <sortState xmlns:xlrd2="http://schemas.microsoft.com/office/spreadsheetml/2017/richdata2" ref="B7:BC30">
    <sortCondition descending="1" ref="W7:W30"/>
  </sortState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54"/>
  <sheetViews>
    <sheetView zoomScale="70" zoomScaleNormal="70" workbookViewId="0">
      <selection activeCell="C7" sqref="C7:AA35"/>
    </sheetView>
  </sheetViews>
  <sheetFormatPr defaultRowHeight="13.2" x14ac:dyDescent="0.25"/>
  <cols>
    <col min="2" max="2" width="22.6640625" customWidth="1"/>
    <col min="3" max="18" width="8.88671875" customWidth="1"/>
    <col min="33" max="33" width="7.33203125" customWidth="1"/>
  </cols>
  <sheetData>
    <row r="1" spans="1:65" x14ac:dyDescent="0.25">
      <c r="C1" t="s">
        <v>297</v>
      </c>
      <c r="D1" t="s">
        <v>297</v>
      </c>
      <c r="E1" t="s">
        <v>50</v>
      </c>
      <c r="F1" t="s">
        <v>296</v>
      </c>
      <c r="G1" t="s">
        <v>296</v>
      </c>
      <c r="H1" t="s">
        <v>50</v>
      </c>
      <c r="I1" t="s">
        <v>296</v>
      </c>
      <c r="J1" t="s">
        <v>50</v>
      </c>
      <c r="K1" t="s">
        <v>296</v>
      </c>
      <c r="L1" t="s">
        <v>296</v>
      </c>
      <c r="M1" t="s">
        <v>297</v>
      </c>
      <c r="N1" t="s">
        <v>50</v>
      </c>
      <c r="O1" t="s">
        <v>296</v>
      </c>
      <c r="P1" t="s">
        <v>296</v>
      </c>
      <c r="Q1" t="s">
        <v>296</v>
      </c>
      <c r="R1" t="s">
        <v>50</v>
      </c>
      <c r="S1" t="s">
        <v>297</v>
      </c>
      <c r="T1" t="s">
        <v>298</v>
      </c>
      <c r="U1" t="s">
        <v>298</v>
      </c>
      <c r="V1" t="s">
        <v>298</v>
      </c>
      <c r="W1" t="s">
        <v>50</v>
      </c>
      <c r="X1" t="s">
        <v>297</v>
      </c>
      <c r="Y1" t="s">
        <v>298</v>
      </c>
      <c r="Z1" t="s">
        <v>50</v>
      </c>
      <c r="AA1" t="s">
        <v>296</v>
      </c>
    </row>
    <row r="3" spans="1:65" ht="50.4" customHeight="1" x14ac:dyDescent="0.25">
      <c r="A3" s="3"/>
      <c r="B3" s="4"/>
      <c r="C3" s="73" t="s">
        <v>1</v>
      </c>
      <c r="D3" s="73" t="s">
        <v>1</v>
      </c>
      <c r="E3" s="62" t="s">
        <v>10</v>
      </c>
      <c r="F3" s="58" t="s">
        <v>2</v>
      </c>
      <c r="G3" s="58" t="s">
        <v>241</v>
      </c>
      <c r="H3" s="154" t="s">
        <v>10</v>
      </c>
      <c r="I3" s="58" t="s">
        <v>3</v>
      </c>
      <c r="J3" s="154" t="s">
        <v>10</v>
      </c>
      <c r="K3" s="58" t="s">
        <v>8</v>
      </c>
      <c r="L3" s="58" t="s">
        <v>10</v>
      </c>
      <c r="M3" s="73" t="s">
        <v>242</v>
      </c>
      <c r="N3" s="154" t="s">
        <v>159</v>
      </c>
      <c r="O3" s="58" t="s">
        <v>243</v>
      </c>
      <c r="P3" s="58" t="s">
        <v>219</v>
      </c>
      <c r="Q3" s="58" t="s">
        <v>3</v>
      </c>
      <c r="R3" s="62" t="s">
        <v>7</v>
      </c>
      <c r="S3" s="73" t="s">
        <v>1</v>
      </c>
      <c r="T3" s="155" t="s">
        <v>6</v>
      </c>
      <c r="U3" s="155" t="s">
        <v>6</v>
      </c>
      <c r="V3" s="155" t="s">
        <v>11</v>
      </c>
      <c r="W3" s="154" t="s">
        <v>244</v>
      </c>
      <c r="X3" s="73" t="s">
        <v>197</v>
      </c>
      <c r="Y3" s="155" t="s">
        <v>11</v>
      </c>
      <c r="Z3" s="62" t="s">
        <v>198</v>
      </c>
      <c r="AA3" s="58" t="s">
        <v>245</v>
      </c>
      <c r="AB3" s="5"/>
      <c r="AC3" s="6"/>
      <c r="AD3" s="6"/>
      <c r="AE3" s="6"/>
      <c r="AF3" s="6"/>
      <c r="AG3" s="6"/>
      <c r="AH3" s="6"/>
      <c r="AI3" s="6"/>
      <c r="AJ3" s="6"/>
    </row>
    <row r="4" spans="1:65" ht="102" x14ac:dyDescent="0.25">
      <c r="A4" s="3"/>
      <c r="B4" s="7"/>
      <c r="C4" s="79" t="s">
        <v>246</v>
      </c>
      <c r="D4" s="80" t="s">
        <v>247</v>
      </c>
      <c r="E4" s="79" t="s">
        <v>248</v>
      </c>
      <c r="F4" s="79" t="s">
        <v>249</v>
      </c>
      <c r="G4" s="80" t="s">
        <v>207</v>
      </c>
      <c r="H4" s="79" t="s">
        <v>250</v>
      </c>
      <c r="I4" s="80" t="s">
        <v>251</v>
      </c>
      <c r="J4" s="79" t="s">
        <v>252</v>
      </c>
      <c r="K4" s="80" t="s">
        <v>253</v>
      </c>
      <c r="L4" s="79" t="s">
        <v>254</v>
      </c>
      <c r="M4" s="80" t="s">
        <v>255</v>
      </c>
      <c r="N4" s="80" t="s">
        <v>246</v>
      </c>
      <c r="O4" s="80" t="s">
        <v>248</v>
      </c>
      <c r="P4" s="79" t="s">
        <v>256</v>
      </c>
      <c r="Q4" s="79" t="s">
        <v>253</v>
      </c>
      <c r="R4" s="80" t="s">
        <v>249</v>
      </c>
      <c r="S4" s="79" t="s">
        <v>207</v>
      </c>
      <c r="T4" s="80" t="s">
        <v>250</v>
      </c>
      <c r="U4" s="79" t="s">
        <v>251</v>
      </c>
      <c r="V4" s="80" t="s">
        <v>252</v>
      </c>
      <c r="W4" s="80" t="s">
        <v>254</v>
      </c>
      <c r="X4" s="79" t="s">
        <v>255</v>
      </c>
      <c r="Y4" s="72" t="s">
        <v>257</v>
      </c>
      <c r="Z4" s="80" t="s">
        <v>258</v>
      </c>
      <c r="AA4" s="71" t="s">
        <v>259</v>
      </c>
      <c r="AC4" s="100" t="s">
        <v>29</v>
      </c>
      <c r="AD4" s="100" t="s">
        <v>30</v>
      </c>
      <c r="AE4" s="100" t="s">
        <v>31</v>
      </c>
      <c r="AF4" s="100" t="s">
        <v>32</v>
      </c>
      <c r="AG4" s="100" t="s">
        <v>33</v>
      </c>
      <c r="AK4" s="100" t="s">
        <v>34</v>
      </c>
      <c r="AN4" s="72" t="s">
        <v>246</v>
      </c>
      <c r="AO4" s="71" t="s">
        <v>247</v>
      </c>
      <c r="AP4" s="72" t="s">
        <v>248</v>
      </c>
      <c r="AQ4" s="72" t="s">
        <v>249</v>
      </c>
      <c r="AR4" s="71" t="s">
        <v>207</v>
      </c>
      <c r="AS4" s="72" t="s">
        <v>250</v>
      </c>
      <c r="AT4" s="71" t="s">
        <v>251</v>
      </c>
      <c r="AU4" s="72" t="s">
        <v>252</v>
      </c>
      <c r="AV4" s="71" t="s">
        <v>253</v>
      </c>
      <c r="AW4" s="72" t="s">
        <v>254</v>
      </c>
      <c r="AX4" s="71" t="s">
        <v>255</v>
      </c>
      <c r="AY4" s="71" t="s">
        <v>246</v>
      </c>
      <c r="AZ4" s="161" t="s">
        <v>248</v>
      </c>
      <c r="BA4" s="162" t="s">
        <v>256</v>
      </c>
      <c r="BB4" s="72" t="s">
        <v>253</v>
      </c>
      <c r="BC4" s="71" t="s">
        <v>249</v>
      </c>
      <c r="BD4" s="72" t="s">
        <v>207</v>
      </c>
      <c r="BE4" s="71" t="s">
        <v>250</v>
      </c>
      <c r="BF4" s="72" t="s">
        <v>251</v>
      </c>
      <c r="BG4" s="71" t="s">
        <v>252</v>
      </c>
      <c r="BH4" s="71" t="s">
        <v>254</v>
      </c>
      <c r="BI4" s="72" t="s">
        <v>255</v>
      </c>
      <c r="BJ4" s="72" t="s">
        <v>257</v>
      </c>
      <c r="BK4" s="71" t="s">
        <v>258</v>
      </c>
      <c r="BL4" s="71" t="s">
        <v>259</v>
      </c>
    </row>
    <row r="5" spans="1:65" ht="55.2" customHeight="1" x14ac:dyDescent="0.25">
      <c r="A5" s="3"/>
      <c r="B5" s="46" t="s">
        <v>39</v>
      </c>
      <c r="C5" s="75">
        <v>44436</v>
      </c>
      <c r="D5" s="76">
        <v>44443</v>
      </c>
      <c r="E5" s="75">
        <v>44450</v>
      </c>
      <c r="F5" s="76">
        <v>44464</v>
      </c>
      <c r="G5" s="75">
        <v>44471</v>
      </c>
      <c r="H5" s="76">
        <v>44478</v>
      </c>
      <c r="I5" s="75">
        <v>44485</v>
      </c>
      <c r="J5" s="76">
        <v>44492</v>
      </c>
      <c r="K5" s="75">
        <v>44499</v>
      </c>
      <c r="L5" s="76">
        <v>44513</v>
      </c>
      <c r="M5" s="75">
        <v>44520</v>
      </c>
      <c r="N5" s="76">
        <v>44527</v>
      </c>
      <c r="O5" s="75">
        <v>44541</v>
      </c>
      <c r="P5" s="76">
        <v>44548</v>
      </c>
      <c r="Q5" s="75">
        <v>44569</v>
      </c>
      <c r="R5" s="76">
        <v>44576</v>
      </c>
      <c r="S5" s="75">
        <v>44583</v>
      </c>
      <c r="T5" s="76">
        <v>44590</v>
      </c>
      <c r="U5" s="75">
        <v>44597</v>
      </c>
      <c r="V5" s="76">
        <v>44604</v>
      </c>
      <c r="W5" s="75">
        <v>44246</v>
      </c>
      <c r="X5" s="76">
        <v>44632</v>
      </c>
      <c r="Y5" s="76">
        <v>44646</v>
      </c>
      <c r="Z5" s="76">
        <v>44653</v>
      </c>
      <c r="AA5" s="76">
        <v>44674</v>
      </c>
      <c r="AB5" s="5"/>
      <c r="AC5" s="6"/>
      <c r="AD5" s="6"/>
      <c r="AE5" s="6"/>
      <c r="AF5" s="6"/>
      <c r="AG5" s="6"/>
      <c r="AH5" s="6"/>
      <c r="AI5" s="6"/>
      <c r="AN5" s="6"/>
    </row>
    <row r="6" spans="1:65" ht="41.4" customHeight="1" x14ac:dyDescent="0.25">
      <c r="A6" s="3"/>
      <c r="B6" s="156"/>
      <c r="C6" s="157" t="s">
        <v>240</v>
      </c>
      <c r="D6" s="158" t="s">
        <v>42</v>
      </c>
      <c r="E6" s="158" t="s">
        <v>44</v>
      </c>
      <c r="F6" s="158" t="s">
        <v>44</v>
      </c>
      <c r="G6" s="158" t="s">
        <v>42</v>
      </c>
      <c r="H6" s="158" t="s">
        <v>42</v>
      </c>
      <c r="I6" s="158" t="s">
        <v>42</v>
      </c>
      <c r="J6" s="158" t="s">
        <v>42</v>
      </c>
      <c r="K6" s="158" t="s">
        <v>42</v>
      </c>
      <c r="L6" s="158" t="s">
        <v>42</v>
      </c>
      <c r="M6" s="158" t="s">
        <v>42</v>
      </c>
      <c r="N6" s="158" t="s">
        <v>42</v>
      </c>
      <c r="O6" s="157" t="s">
        <v>42</v>
      </c>
      <c r="P6" s="158" t="s">
        <v>42</v>
      </c>
      <c r="Q6" s="158" t="s">
        <v>260</v>
      </c>
      <c r="R6" s="158" t="s">
        <v>42</v>
      </c>
      <c r="S6" s="158" t="s">
        <v>44</v>
      </c>
      <c r="T6" s="158" t="s">
        <v>42</v>
      </c>
      <c r="U6" s="157" t="s">
        <v>42</v>
      </c>
      <c r="V6" s="158" t="s">
        <v>42</v>
      </c>
      <c r="W6" s="157" t="s">
        <v>42</v>
      </c>
      <c r="X6" s="76" t="s">
        <v>44</v>
      </c>
      <c r="Y6" s="76" t="s">
        <v>44</v>
      </c>
      <c r="Z6" s="76" t="s">
        <v>42</v>
      </c>
      <c r="AA6" s="76" t="s">
        <v>42</v>
      </c>
      <c r="AB6" s="5"/>
      <c r="AC6" s="6"/>
      <c r="AD6" s="6"/>
      <c r="AE6" s="6"/>
      <c r="AF6" s="6"/>
      <c r="AG6" s="6"/>
      <c r="AH6" s="6"/>
      <c r="AI6" s="6"/>
      <c r="AN6" s="6"/>
    </row>
    <row r="7" spans="1:65" x14ac:dyDescent="0.25">
      <c r="A7" s="3">
        <v>1</v>
      </c>
      <c r="B7" s="8" t="s">
        <v>60</v>
      </c>
      <c r="C7" s="9" t="s">
        <v>48</v>
      </c>
      <c r="D7" s="9" t="s">
        <v>48</v>
      </c>
      <c r="E7" s="9" t="s">
        <v>48</v>
      </c>
      <c r="F7" s="9" t="s">
        <v>299</v>
      </c>
      <c r="G7" s="9" t="s">
        <v>48</v>
      </c>
      <c r="H7" s="9" t="s">
        <v>48</v>
      </c>
      <c r="I7" s="9" t="s">
        <v>48</v>
      </c>
      <c r="J7" s="9" t="s">
        <v>48</v>
      </c>
      <c r="K7" s="9" t="s">
        <v>48</v>
      </c>
      <c r="L7" s="9"/>
      <c r="M7" s="9" t="s">
        <v>48</v>
      </c>
      <c r="N7" s="9" t="s">
        <v>48</v>
      </c>
      <c r="O7" s="9" t="s">
        <v>48</v>
      </c>
      <c r="P7" s="9" t="s">
        <v>48</v>
      </c>
      <c r="Q7" s="9" t="s">
        <v>48</v>
      </c>
      <c r="R7" s="9" t="s">
        <v>48</v>
      </c>
      <c r="S7" s="9" t="s">
        <v>299</v>
      </c>
      <c r="T7" s="9"/>
      <c r="U7" s="9"/>
      <c r="V7" s="9"/>
      <c r="W7" s="9" t="s">
        <v>48</v>
      </c>
      <c r="X7" s="45" t="s">
        <v>299</v>
      </c>
      <c r="Y7" s="45"/>
      <c r="Z7" s="45" t="s">
        <v>48</v>
      </c>
      <c r="AA7" s="45" t="s">
        <v>48</v>
      </c>
      <c r="AB7" s="105">
        <f t="shared" ref="AB7:AB36" si="0">SUM(COUNTIF(C7:AA7,"h"),COUNTIF(C7:AA7,"w"),COUNTIF(C7:AA7,"k"),COUNTIF(C7:AA7,"t"))</f>
        <v>17</v>
      </c>
      <c r="AC7" s="101">
        <f t="shared" ref="AC7:AC36" si="1">COUNTIF(C7:AA7,"w")</f>
        <v>0</v>
      </c>
      <c r="AD7" s="101">
        <f t="shared" ref="AD7:AD36" si="2">COUNTIF(C7:AA7,"k")</f>
        <v>0</v>
      </c>
      <c r="AE7" s="101">
        <f t="shared" ref="AE7:AE36" si="3">BM7</f>
        <v>-16</v>
      </c>
      <c r="AF7" s="101">
        <f t="shared" ref="AF7:AF36" si="4">COUNTIF(C7:AA7,"t")</f>
        <v>0</v>
      </c>
      <c r="AG7" s="102">
        <f t="shared" ref="AG7:AG36" si="5">(AC7/(AB7+AE7-AF7-AD7))*100</f>
        <v>0</v>
      </c>
      <c r="AK7" s="195">
        <f t="shared" ref="AK7:AK36" si="6">AB7-AF7</f>
        <v>17</v>
      </c>
      <c r="AN7" s="6">
        <f t="shared" ref="AN7:AN36" si="7">IF(C$39="ja",0,IF(C7="h",-1,IF(C7="k",0,IF(C7="w",-1,0))))</f>
        <v>-1</v>
      </c>
      <c r="AO7" s="6">
        <f t="shared" ref="AO7:AO36" si="8">IF(D$39="ja",0,IF(D7="h",-1,IF(D7="k",0,IF(D7="w",-1,0))))</f>
        <v>-1</v>
      </c>
      <c r="AP7" s="6">
        <f t="shared" ref="AP7:AP36" si="9">IF(E$39="ja",0,IF(E7="h",-1,IF(E7="k",0,IF(E7="w",-1,0))))</f>
        <v>-1</v>
      </c>
      <c r="AQ7" s="6">
        <f t="shared" ref="AQ7:AQ36" si="10">IF(F$39="ja",0,IF(F7="h",-1,IF(F7="k",0,IF(F7="w",-1,0))))</f>
        <v>0</v>
      </c>
      <c r="AR7" s="6">
        <f t="shared" ref="AR7:AR36" si="11">IF(G$39="ja",0,IF(G7="h",-1,IF(G7="k",0,IF(G7="w",-1,0))))</f>
        <v>-1</v>
      </c>
      <c r="AS7" s="6">
        <f t="shared" ref="AS7:AS36" si="12">IF(H$39="ja",0,IF(H7="h",-1,IF(H7="k",0,IF(H7="w",-1,0))))</f>
        <v>-1</v>
      </c>
      <c r="AT7" s="6">
        <f t="shared" ref="AT7:AT36" si="13">IF(I$39="ja",0,IF(I7="h",-1,IF(I7="k",0,IF(I7="w",-1,0))))</f>
        <v>-1</v>
      </c>
      <c r="AU7" s="6">
        <f t="shared" ref="AU7:AU36" si="14">IF(J$39="ja",0,IF(J7="h",-1,IF(J7="k",0,IF(J7="w",-1,0))))</f>
        <v>0</v>
      </c>
      <c r="AV7" s="6">
        <f t="shared" ref="AV7:AV36" si="15">IF(K$39="ja",0,IF(K7="h",-1,IF(K7="k",0,IF(K7="w",-1,0))))</f>
        <v>-1</v>
      </c>
      <c r="AW7" s="6">
        <f t="shared" ref="AW7:AW36" si="16">IF(L$39="ja",0,IF(L7="h",-1,IF(L7="k",0,IF(L7="w",-1,0))))</f>
        <v>0</v>
      </c>
      <c r="AX7" s="6">
        <f t="shared" ref="AX7:AX36" si="17">IF(M$39="ja",0,IF(M7="h",-1,IF(M7="k",0,IF(M7="w",-1,0))))</f>
        <v>-1</v>
      </c>
      <c r="AY7" s="6">
        <f t="shared" ref="AY7:AY36" si="18">IF(N$39="ja",0,IF(N7="h",-1,IF(N7="k",0,IF(N7="w",-1,0))))</f>
        <v>-1</v>
      </c>
      <c r="AZ7" s="6">
        <f t="shared" ref="AZ7:AZ36" si="19">IF(O$39="ja",0,IF(O7="h",-1,IF(O7="k",0,IF(O7="w",-1,0))))</f>
        <v>-1</v>
      </c>
      <c r="BA7" s="6">
        <f t="shared" ref="BA7:BA36" si="20">IF(P$39="ja",0,IF(P7="h",-1,IF(P7="k",0,IF(P7="w",-1,0))))</f>
        <v>-1</v>
      </c>
      <c r="BB7" s="6">
        <f t="shared" ref="BB7:BB36" si="21">IF(Q$39="ja",0,IF(Q7="h",-1,IF(Q7="k",0,IF(Q7="w",-1,0))))</f>
        <v>-1</v>
      </c>
      <c r="BC7" s="6">
        <f t="shared" ref="BC7:BC36" si="22">IF(R$39="ja",0,IF(R7="h",-1,IF(R7="k",0,IF(R7="w",-1,0))))</f>
        <v>-1</v>
      </c>
      <c r="BD7" s="6">
        <f t="shared" ref="BD7:BD36" si="23">IF(S$39="ja",0,IF(S7="h",-1,IF(S7="k",0,IF(S7="w",-1,0))))</f>
        <v>0</v>
      </c>
      <c r="BE7" s="6">
        <f t="shared" ref="BE7:BE36" si="24">IF(T$39="ja",0,IF(T7="h",-1,IF(T7="k",0,IF(T7="w",-1,0))))</f>
        <v>0</v>
      </c>
      <c r="BF7" s="6">
        <f t="shared" ref="BF7:BF36" si="25">IF(U$39="ja",0,IF(U7="h",-1,IF(U7="k",0,IF(U7="w",-1,0))))</f>
        <v>0</v>
      </c>
      <c r="BG7" s="6">
        <f t="shared" ref="BG7:BG36" si="26">IF(V$39="ja",0,IF(V7="h",-1,IF(V7="k",0,IF(V7="w",-1,0))))</f>
        <v>0</v>
      </c>
      <c r="BH7" s="6">
        <f t="shared" ref="BH7:BH36" si="27">IF(W$39="ja",0,IF(W7="h",-1,IF(W7="k",0,IF(W7="w",-1,0))))</f>
        <v>-1</v>
      </c>
      <c r="BI7" s="6">
        <f t="shared" ref="BI7:BI36" si="28">IF(X$39="ja",0,IF(X7="h",-1,IF(X7="k",0,IF(X7="w",-1,0))))</f>
        <v>0</v>
      </c>
      <c r="BJ7" s="6">
        <f t="shared" ref="BJ7:BJ36" si="29">IF(Y$39="ja",0,IF(Y7="h",-1,IF(Y7="k",0,IF(Y7="w",-1,0))))</f>
        <v>0</v>
      </c>
      <c r="BK7" s="6">
        <f t="shared" ref="BK7:BK36" si="30">IF(Z$39="ja",0,IF(Z7="h",-1,IF(Z7="k",0,IF(Z7="w",-1,0))))</f>
        <v>-1</v>
      </c>
      <c r="BL7" s="6">
        <f t="shared" ref="BL7:BL36" si="31">IF(AA$39="ja",0,IF(AA7="h",-1,IF(AA7="k",0,IF(AA7="w",-1,0))))</f>
        <v>-1</v>
      </c>
      <c r="BM7" s="6">
        <f t="shared" ref="BM7:BM36" si="32">SUM(AN7:BL7)</f>
        <v>-16</v>
      </c>
    </row>
    <row r="8" spans="1:65" x14ac:dyDescent="0.25">
      <c r="A8" s="3">
        <v>2</v>
      </c>
      <c r="B8" s="8" t="s">
        <v>61</v>
      </c>
      <c r="C8" s="9"/>
      <c r="D8" s="9" t="s">
        <v>48</v>
      </c>
      <c r="E8" s="9" t="s">
        <v>48</v>
      </c>
      <c r="F8" s="9" t="s">
        <v>48</v>
      </c>
      <c r="G8" s="9" t="s">
        <v>48</v>
      </c>
      <c r="H8" s="9" t="s">
        <v>48</v>
      </c>
      <c r="I8" s="9" t="s">
        <v>299</v>
      </c>
      <c r="J8" s="9" t="s">
        <v>48</v>
      </c>
      <c r="K8" s="9" t="s">
        <v>48</v>
      </c>
      <c r="L8" s="9"/>
      <c r="M8" s="9" t="s">
        <v>48</v>
      </c>
      <c r="N8" s="9" t="s">
        <v>48</v>
      </c>
      <c r="O8" s="9" t="s">
        <v>48</v>
      </c>
      <c r="P8" s="9" t="s">
        <v>48</v>
      </c>
      <c r="Q8" s="9" t="s">
        <v>48</v>
      </c>
      <c r="R8" s="9" t="s">
        <v>48</v>
      </c>
      <c r="S8" s="9" t="s">
        <v>48</v>
      </c>
      <c r="T8" s="9"/>
      <c r="U8" s="9"/>
      <c r="V8" s="9"/>
      <c r="W8" s="9" t="s">
        <v>299</v>
      </c>
      <c r="X8" s="45" t="s">
        <v>48</v>
      </c>
      <c r="Y8" s="45"/>
      <c r="Z8" s="45" t="s">
        <v>299</v>
      </c>
      <c r="AA8" s="45" t="s">
        <v>48</v>
      </c>
      <c r="AB8" s="105">
        <f t="shared" si="0"/>
        <v>16</v>
      </c>
      <c r="AC8" s="101">
        <f t="shared" si="1"/>
        <v>0</v>
      </c>
      <c r="AD8" s="101">
        <f t="shared" si="2"/>
        <v>0</v>
      </c>
      <c r="AE8" s="101">
        <f t="shared" si="3"/>
        <v>-15</v>
      </c>
      <c r="AF8" s="101">
        <f t="shared" si="4"/>
        <v>0</v>
      </c>
      <c r="AG8" s="102">
        <f t="shared" si="5"/>
        <v>0</v>
      </c>
      <c r="AK8" s="195">
        <f t="shared" si="6"/>
        <v>16</v>
      </c>
      <c r="AN8" s="6">
        <f t="shared" si="7"/>
        <v>0</v>
      </c>
      <c r="AO8" s="6">
        <f t="shared" si="8"/>
        <v>-1</v>
      </c>
      <c r="AP8" s="6">
        <f t="shared" si="9"/>
        <v>-1</v>
      </c>
      <c r="AQ8" s="6">
        <f t="shared" si="10"/>
        <v>-1</v>
      </c>
      <c r="AR8" s="6">
        <f t="shared" si="11"/>
        <v>-1</v>
      </c>
      <c r="AS8" s="6">
        <f t="shared" si="12"/>
        <v>-1</v>
      </c>
      <c r="AT8" s="6">
        <f t="shared" si="13"/>
        <v>0</v>
      </c>
      <c r="AU8" s="6">
        <f t="shared" si="14"/>
        <v>0</v>
      </c>
      <c r="AV8" s="6">
        <f t="shared" si="15"/>
        <v>-1</v>
      </c>
      <c r="AW8" s="6">
        <f t="shared" si="16"/>
        <v>0</v>
      </c>
      <c r="AX8" s="6">
        <f t="shared" si="17"/>
        <v>-1</v>
      </c>
      <c r="AY8" s="6">
        <f t="shared" si="18"/>
        <v>-1</v>
      </c>
      <c r="AZ8" s="6">
        <f t="shared" si="19"/>
        <v>-1</v>
      </c>
      <c r="BA8" s="6">
        <f t="shared" si="20"/>
        <v>-1</v>
      </c>
      <c r="BB8" s="6">
        <f t="shared" si="21"/>
        <v>-1</v>
      </c>
      <c r="BC8" s="6">
        <f t="shared" si="22"/>
        <v>-1</v>
      </c>
      <c r="BD8" s="6">
        <f t="shared" si="23"/>
        <v>-1</v>
      </c>
      <c r="BE8" s="6">
        <f t="shared" si="24"/>
        <v>0</v>
      </c>
      <c r="BF8" s="6">
        <f t="shared" si="25"/>
        <v>0</v>
      </c>
      <c r="BG8" s="6">
        <f t="shared" si="26"/>
        <v>0</v>
      </c>
      <c r="BH8" s="6">
        <f t="shared" si="27"/>
        <v>0</v>
      </c>
      <c r="BI8" s="6">
        <f t="shared" si="28"/>
        <v>-1</v>
      </c>
      <c r="BJ8" s="6">
        <f t="shared" si="29"/>
        <v>0</v>
      </c>
      <c r="BK8" s="6">
        <f t="shared" si="30"/>
        <v>0</v>
      </c>
      <c r="BL8" s="6">
        <f t="shared" si="31"/>
        <v>-1</v>
      </c>
      <c r="BM8" s="6">
        <f t="shared" si="32"/>
        <v>-15</v>
      </c>
    </row>
    <row r="9" spans="1:65" x14ac:dyDescent="0.25">
      <c r="A9" s="3">
        <v>3</v>
      </c>
      <c r="B9" s="8" t="s">
        <v>64</v>
      </c>
      <c r="C9" s="9" t="s">
        <v>48</v>
      </c>
      <c r="D9" s="9" t="s">
        <v>48</v>
      </c>
      <c r="E9" s="9" t="s">
        <v>48</v>
      </c>
      <c r="F9" s="9"/>
      <c r="G9" s="9"/>
      <c r="H9" s="9" t="s">
        <v>48</v>
      </c>
      <c r="I9" s="9" t="s">
        <v>48</v>
      </c>
      <c r="J9" s="9" t="s">
        <v>48</v>
      </c>
      <c r="K9" s="9" t="s">
        <v>48</v>
      </c>
      <c r="L9" s="9" t="s">
        <v>48</v>
      </c>
      <c r="M9" s="9" t="s">
        <v>48</v>
      </c>
      <c r="N9" s="9" t="s">
        <v>299</v>
      </c>
      <c r="O9" s="9" t="s">
        <v>48</v>
      </c>
      <c r="P9" s="9" t="s">
        <v>48</v>
      </c>
      <c r="Q9" s="9" t="s">
        <v>48</v>
      </c>
      <c r="R9" s="9" t="s">
        <v>48</v>
      </c>
      <c r="S9" s="9" t="s">
        <v>48</v>
      </c>
      <c r="T9" s="9"/>
      <c r="U9" s="9"/>
      <c r="V9" s="9"/>
      <c r="W9" s="9" t="s">
        <v>299</v>
      </c>
      <c r="X9" s="45" t="s">
        <v>299</v>
      </c>
      <c r="Y9" s="45"/>
      <c r="Z9" s="45" t="s">
        <v>48</v>
      </c>
      <c r="AA9" s="45" t="s">
        <v>299</v>
      </c>
      <c r="AB9" s="105">
        <f t="shared" si="0"/>
        <v>15</v>
      </c>
      <c r="AC9" s="101">
        <f t="shared" si="1"/>
        <v>0</v>
      </c>
      <c r="AD9" s="101">
        <f t="shared" si="2"/>
        <v>0</v>
      </c>
      <c r="AE9" s="101">
        <f t="shared" si="3"/>
        <v>-14</v>
      </c>
      <c r="AF9" s="101">
        <f t="shared" si="4"/>
        <v>0</v>
      </c>
      <c r="AG9" s="102">
        <f t="shared" si="5"/>
        <v>0</v>
      </c>
      <c r="AK9" s="195">
        <f t="shared" si="6"/>
        <v>15</v>
      </c>
      <c r="AN9" s="6">
        <f t="shared" si="7"/>
        <v>-1</v>
      </c>
      <c r="AO9" s="6">
        <f t="shared" si="8"/>
        <v>-1</v>
      </c>
      <c r="AP9" s="6">
        <f t="shared" si="9"/>
        <v>-1</v>
      </c>
      <c r="AQ9" s="6">
        <f t="shared" si="10"/>
        <v>0</v>
      </c>
      <c r="AR9" s="6">
        <f t="shared" si="11"/>
        <v>0</v>
      </c>
      <c r="AS9" s="6">
        <f t="shared" si="12"/>
        <v>-1</v>
      </c>
      <c r="AT9" s="6">
        <f t="shared" si="13"/>
        <v>-1</v>
      </c>
      <c r="AU9" s="6">
        <f t="shared" si="14"/>
        <v>0</v>
      </c>
      <c r="AV9" s="6">
        <f t="shared" si="15"/>
        <v>-1</v>
      </c>
      <c r="AW9" s="6">
        <f t="shared" si="16"/>
        <v>-1</v>
      </c>
      <c r="AX9" s="6">
        <f t="shared" si="17"/>
        <v>-1</v>
      </c>
      <c r="AY9" s="6">
        <f t="shared" si="18"/>
        <v>0</v>
      </c>
      <c r="AZ9" s="6">
        <f t="shared" si="19"/>
        <v>-1</v>
      </c>
      <c r="BA9" s="6">
        <f t="shared" si="20"/>
        <v>-1</v>
      </c>
      <c r="BB9" s="6">
        <f t="shared" si="21"/>
        <v>-1</v>
      </c>
      <c r="BC9" s="6">
        <f t="shared" si="22"/>
        <v>-1</v>
      </c>
      <c r="BD9" s="6">
        <f t="shared" si="23"/>
        <v>-1</v>
      </c>
      <c r="BE9" s="6">
        <f t="shared" si="24"/>
        <v>0</v>
      </c>
      <c r="BF9" s="6">
        <f t="shared" si="25"/>
        <v>0</v>
      </c>
      <c r="BG9" s="6">
        <f t="shared" si="26"/>
        <v>0</v>
      </c>
      <c r="BH9" s="6">
        <f t="shared" si="27"/>
        <v>0</v>
      </c>
      <c r="BI9" s="6">
        <f t="shared" si="28"/>
        <v>0</v>
      </c>
      <c r="BJ9" s="6">
        <f t="shared" si="29"/>
        <v>0</v>
      </c>
      <c r="BK9" s="6">
        <f t="shared" si="30"/>
        <v>-1</v>
      </c>
      <c r="BL9" s="6">
        <f t="shared" si="31"/>
        <v>0</v>
      </c>
      <c r="BM9" s="6">
        <f t="shared" si="32"/>
        <v>-14</v>
      </c>
    </row>
    <row r="10" spans="1:65" x14ac:dyDescent="0.25">
      <c r="A10" s="3">
        <v>4</v>
      </c>
      <c r="B10" s="8" t="s">
        <v>73</v>
      </c>
      <c r="C10" s="9" t="s">
        <v>74</v>
      </c>
      <c r="D10" s="9"/>
      <c r="E10" s="9" t="s">
        <v>74</v>
      </c>
      <c r="F10" s="9" t="s">
        <v>74</v>
      </c>
      <c r="G10" s="9"/>
      <c r="H10" s="9" t="s">
        <v>74</v>
      </c>
      <c r="I10" s="9" t="s">
        <v>74</v>
      </c>
      <c r="J10" s="9" t="s">
        <v>74</v>
      </c>
      <c r="K10" s="9" t="s">
        <v>74</v>
      </c>
      <c r="L10" s="9" t="s">
        <v>74</v>
      </c>
      <c r="M10" s="9"/>
      <c r="N10" s="9" t="s">
        <v>74</v>
      </c>
      <c r="O10" s="9" t="s">
        <v>74</v>
      </c>
      <c r="P10" s="9" t="s">
        <v>74</v>
      </c>
      <c r="Q10" s="9" t="s">
        <v>74</v>
      </c>
      <c r="R10" s="9" t="s">
        <v>74</v>
      </c>
      <c r="S10" s="9" t="s">
        <v>74</v>
      </c>
      <c r="T10" s="9"/>
      <c r="U10" s="9"/>
      <c r="V10" s="9"/>
      <c r="W10" s="9" t="s">
        <v>74</v>
      </c>
      <c r="X10" s="45" t="s">
        <v>74</v>
      </c>
      <c r="Y10" s="45"/>
      <c r="Z10" s="45" t="s">
        <v>74</v>
      </c>
      <c r="AA10" s="45" t="s">
        <v>74</v>
      </c>
      <c r="AB10" s="105">
        <f t="shared" si="0"/>
        <v>18</v>
      </c>
      <c r="AC10" s="101">
        <f t="shared" si="1"/>
        <v>0</v>
      </c>
      <c r="AD10" s="101">
        <f t="shared" si="2"/>
        <v>18</v>
      </c>
      <c r="AE10" s="101">
        <f t="shared" si="3"/>
        <v>0</v>
      </c>
      <c r="AF10" s="101">
        <f t="shared" si="4"/>
        <v>0</v>
      </c>
      <c r="AG10" s="102" t="e">
        <f t="shared" si="5"/>
        <v>#DIV/0!</v>
      </c>
      <c r="AH10" s="6"/>
      <c r="AI10" s="6"/>
      <c r="AK10" s="195">
        <f t="shared" si="6"/>
        <v>18</v>
      </c>
      <c r="AN10" s="6">
        <f t="shared" si="7"/>
        <v>0</v>
      </c>
      <c r="AO10" s="6">
        <f t="shared" si="8"/>
        <v>0</v>
      </c>
      <c r="AP10" s="6">
        <f t="shared" si="9"/>
        <v>0</v>
      </c>
      <c r="AQ10" s="6">
        <f t="shared" si="10"/>
        <v>0</v>
      </c>
      <c r="AR10" s="6">
        <f t="shared" si="11"/>
        <v>0</v>
      </c>
      <c r="AS10" s="6">
        <f t="shared" si="12"/>
        <v>0</v>
      </c>
      <c r="AT10" s="6">
        <f t="shared" si="13"/>
        <v>0</v>
      </c>
      <c r="AU10" s="6">
        <f t="shared" si="14"/>
        <v>0</v>
      </c>
      <c r="AV10" s="6">
        <f t="shared" si="15"/>
        <v>0</v>
      </c>
      <c r="AW10" s="6">
        <f t="shared" si="16"/>
        <v>0</v>
      </c>
      <c r="AX10" s="6">
        <f t="shared" si="17"/>
        <v>0</v>
      </c>
      <c r="AY10" s="6">
        <f t="shared" si="18"/>
        <v>0</v>
      </c>
      <c r="AZ10" s="6">
        <f t="shared" si="19"/>
        <v>0</v>
      </c>
      <c r="BA10" s="6">
        <f t="shared" si="20"/>
        <v>0</v>
      </c>
      <c r="BB10" s="6">
        <f t="shared" si="21"/>
        <v>0</v>
      </c>
      <c r="BC10" s="6">
        <f t="shared" si="22"/>
        <v>0</v>
      </c>
      <c r="BD10" s="6">
        <f t="shared" si="23"/>
        <v>0</v>
      </c>
      <c r="BE10" s="6">
        <f t="shared" si="24"/>
        <v>0</v>
      </c>
      <c r="BF10" s="6">
        <f t="shared" si="25"/>
        <v>0</v>
      </c>
      <c r="BG10" s="6">
        <f t="shared" si="26"/>
        <v>0</v>
      </c>
      <c r="BH10" s="6">
        <f t="shared" si="27"/>
        <v>0</v>
      </c>
      <c r="BI10" s="6">
        <f t="shared" si="28"/>
        <v>0</v>
      </c>
      <c r="BJ10" s="6">
        <f t="shared" si="29"/>
        <v>0</v>
      </c>
      <c r="BK10" s="6">
        <f t="shared" si="30"/>
        <v>0</v>
      </c>
      <c r="BL10" s="6">
        <f t="shared" si="31"/>
        <v>0</v>
      </c>
      <c r="BM10" s="6">
        <f t="shared" si="32"/>
        <v>0</v>
      </c>
    </row>
    <row r="11" spans="1:65" x14ac:dyDescent="0.25">
      <c r="A11" s="3">
        <v>5</v>
      </c>
      <c r="B11" s="8" t="s">
        <v>62</v>
      </c>
      <c r="C11" s="9" t="s">
        <v>48</v>
      </c>
      <c r="D11" s="9" t="s">
        <v>48</v>
      </c>
      <c r="E11" s="9" t="s">
        <v>48</v>
      </c>
      <c r="F11" s="9" t="s">
        <v>48</v>
      </c>
      <c r="G11" s="9" t="s">
        <v>48</v>
      </c>
      <c r="H11" s="9" t="s">
        <v>299</v>
      </c>
      <c r="I11" s="9" t="s">
        <v>48</v>
      </c>
      <c r="J11" s="9" t="s">
        <v>48</v>
      </c>
      <c r="K11" s="9"/>
      <c r="L11" s="9"/>
      <c r="M11" s="9" t="s">
        <v>48</v>
      </c>
      <c r="N11" s="9" t="s">
        <v>48</v>
      </c>
      <c r="O11" s="9" t="s">
        <v>299</v>
      </c>
      <c r="P11" s="9" t="s">
        <v>48</v>
      </c>
      <c r="Q11" s="9" t="s">
        <v>48</v>
      </c>
      <c r="R11" s="9" t="s">
        <v>48</v>
      </c>
      <c r="S11" s="9"/>
      <c r="T11" s="9"/>
      <c r="U11" s="9"/>
      <c r="V11" s="9"/>
      <c r="W11" s="9" t="s">
        <v>48</v>
      </c>
      <c r="X11" s="45"/>
      <c r="Y11" s="45"/>
      <c r="Z11" s="45" t="s">
        <v>299</v>
      </c>
      <c r="AA11" s="45"/>
      <c r="AB11" s="105">
        <f t="shared" si="0"/>
        <v>13</v>
      </c>
      <c r="AC11" s="101">
        <f t="shared" si="1"/>
        <v>0</v>
      </c>
      <c r="AD11" s="101">
        <f t="shared" si="2"/>
        <v>0</v>
      </c>
      <c r="AE11" s="101">
        <f t="shared" si="3"/>
        <v>-12</v>
      </c>
      <c r="AF11" s="101">
        <f t="shared" si="4"/>
        <v>0</v>
      </c>
      <c r="AG11" s="102">
        <f t="shared" si="5"/>
        <v>0</v>
      </c>
      <c r="AK11" s="195">
        <f t="shared" si="6"/>
        <v>13</v>
      </c>
      <c r="AN11" s="6">
        <f t="shared" si="7"/>
        <v>-1</v>
      </c>
      <c r="AO11" s="6">
        <f t="shared" si="8"/>
        <v>-1</v>
      </c>
      <c r="AP11" s="6">
        <f t="shared" si="9"/>
        <v>-1</v>
      </c>
      <c r="AQ11" s="6">
        <f t="shared" si="10"/>
        <v>-1</v>
      </c>
      <c r="AR11" s="6">
        <f t="shared" si="11"/>
        <v>-1</v>
      </c>
      <c r="AS11" s="6">
        <f t="shared" si="12"/>
        <v>0</v>
      </c>
      <c r="AT11" s="6">
        <f t="shared" si="13"/>
        <v>-1</v>
      </c>
      <c r="AU11" s="6">
        <f t="shared" si="14"/>
        <v>0</v>
      </c>
      <c r="AV11" s="6">
        <f t="shared" si="15"/>
        <v>0</v>
      </c>
      <c r="AW11" s="6">
        <f t="shared" si="16"/>
        <v>0</v>
      </c>
      <c r="AX11" s="6">
        <f t="shared" si="17"/>
        <v>-1</v>
      </c>
      <c r="AY11" s="6">
        <f t="shared" si="18"/>
        <v>-1</v>
      </c>
      <c r="AZ11" s="6">
        <f t="shared" si="19"/>
        <v>0</v>
      </c>
      <c r="BA11" s="6">
        <f t="shared" si="20"/>
        <v>-1</v>
      </c>
      <c r="BB11" s="6">
        <f t="shared" si="21"/>
        <v>-1</v>
      </c>
      <c r="BC11" s="6">
        <f t="shared" si="22"/>
        <v>-1</v>
      </c>
      <c r="BD11" s="6">
        <f t="shared" si="23"/>
        <v>0</v>
      </c>
      <c r="BE11" s="6">
        <f t="shared" si="24"/>
        <v>0</v>
      </c>
      <c r="BF11" s="6">
        <f t="shared" si="25"/>
        <v>0</v>
      </c>
      <c r="BG11" s="6">
        <f t="shared" si="26"/>
        <v>0</v>
      </c>
      <c r="BH11" s="6">
        <f t="shared" si="27"/>
        <v>-1</v>
      </c>
      <c r="BI11" s="6">
        <f t="shared" si="28"/>
        <v>0</v>
      </c>
      <c r="BJ11" s="6">
        <f t="shared" si="29"/>
        <v>0</v>
      </c>
      <c r="BK11" s="6">
        <f t="shared" si="30"/>
        <v>0</v>
      </c>
      <c r="BL11" s="6">
        <f t="shared" si="31"/>
        <v>0</v>
      </c>
      <c r="BM11" s="6">
        <f t="shared" si="32"/>
        <v>-12</v>
      </c>
    </row>
    <row r="12" spans="1:65" x14ac:dyDescent="0.25">
      <c r="A12" s="3">
        <v>6</v>
      </c>
      <c r="B12" s="8" t="s">
        <v>51</v>
      </c>
      <c r="C12" s="9" t="s">
        <v>48</v>
      </c>
      <c r="D12" s="9" t="s">
        <v>48</v>
      </c>
      <c r="E12" s="9" t="s">
        <v>48</v>
      </c>
      <c r="F12" s="9" t="s">
        <v>48</v>
      </c>
      <c r="G12" s="9"/>
      <c r="H12" s="9" t="s">
        <v>48</v>
      </c>
      <c r="I12" s="9" t="s">
        <v>299</v>
      </c>
      <c r="J12" s="9"/>
      <c r="K12" s="9" t="s">
        <v>52</v>
      </c>
      <c r="L12" s="9"/>
      <c r="M12" s="9" t="s">
        <v>52</v>
      </c>
      <c r="N12" s="9" t="s">
        <v>52</v>
      </c>
      <c r="O12" s="9" t="s">
        <v>52</v>
      </c>
      <c r="P12" s="9"/>
      <c r="Q12" s="9" t="s">
        <v>299</v>
      </c>
      <c r="R12" s="9"/>
      <c r="S12" s="9" t="s">
        <v>48</v>
      </c>
      <c r="T12" s="9"/>
      <c r="U12" s="9"/>
      <c r="V12" s="9"/>
      <c r="W12" s="9" t="s">
        <v>52</v>
      </c>
      <c r="X12" s="45" t="s">
        <v>48</v>
      </c>
      <c r="Y12" s="45"/>
      <c r="Z12" s="45" t="s">
        <v>48</v>
      </c>
      <c r="AA12" s="45"/>
      <c r="AB12" s="105">
        <f t="shared" si="0"/>
        <v>13</v>
      </c>
      <c r="AC12" s="101">
        <f t="shared" si="1"/>
        <v>0</v>
      </c>
      <c r="AD12" s="101">
        <f t="shared" si="2"/>
        <v>0</v>
      </c>
      <c r="AE12" s="101">
        <f t="shared" si="3"/>
        <v>-8</v>
      </c>
      <c r="AF12" s="101">
        <f t="shared" si="4"/>
        <v>5</v>
      </c>
      <c r="AG12" s="102" t="e">
        <f t="shared" si="5"/>
        <v>#DIV/0!</v>
      </c>
      <c r="AK12" s="195">
        <f t="shared" si="6"/>
        <v>8</v>
      </c>
      <c r="AN12" s="6">
        <f t="shared" si="7"/>
        <v>-1</v>
      </c>
      <c r="AO12" s="6">
        <f t="shared" si="8"/>
        <v>-1</v>
      </c>
      <c r="AP12" s="6">
        <f t="shared" si="9"/>
        <v>-1</v>
      </c>
      <c r="AQ12" s="6">
        <f t="shared" si="10"/>
        <v>-1</v>
      </c>
      <c r="AR12" s="6">
        <f t="shared" si="11"/>
        <v>0</v>
      </c>
      <c r="AS12" s="6">
        <f t="shared" si="12"/>
        <v>-1</v>
      </c>
      <c r="AT12" s="6">
        <f t="shared" si="13"/>
        <v>0</v>
      </c>
      <c r="AU12" s="6">
        <f t="shared" si="14"/>
        <v>0</v>
      </c>
      <c r="AV12" s="6">
        <f t="shared" si="15"/>
        <v>0</v>
      </c>
      <c r="AW12" s="6">
        <f t="shared" si="16"/>
        <v>0</v>
      </c>
      <c r="AX12" s="6">
        <f t="shared" si="17"/>
        <v>0</v>
      </c>
      <c r="AY12" s="6">
        <f t="shared" si="18"/>
        <v>0</v>
      </c>
      <c r="AZ12" s="6">
        <f t="shared" si="19"/>
        <v>0</v>
      </c>
      <c r="BA12" s="6">
        <f t="shared" si="20"/>
        <v>0</v>
      </c>
      <c r="BB12" s="6">
        <f t="shared" si="21"/>
        <v>0</v>
      </c>
      <c r="BC12" s="6">
        <f t="shared" si="22"/>
        <v>0</v>
      </c>
      <c r="BD12" s="6">
        <f t="shared" si="23"/>
        <v>-1</v>
      </c>
      <c r="BE12" s="6">
        <f t="shared" si="24"/>
        <v>0</v>
      </c>
      <c r="BF12" s="6">
        <f t="shared" si="25"/>
        <v>0</v>
      </c>
      <c r="BG12" s="6">
        <f t="shared" si="26"/>
        <v>0</v>
      </c>
      <c r="BH12" s="6">
        <f t="shared" si="27"/>
        <v>0</v>
      </c>
      <c r="BI12" s="6">
        <f t="shared" si="28"/>
        <v>-1</v>
      </c>
      <c r="BJ12" s="6">
        <f t="shared" si="29"/>
        <v>0</v>
      </c>
      <c r="BK12" s="6">
        <f t="shared" si="30"/>
        <v>-1</v>
      </c>
      <c r="BL12" s="6">
        <f t="shared" si="31"/>
        <v>0</v>
      </c>
      <c r="BM12" s="6">
        <f t="shared" si="32"/>
        <v>-8</v>
      </c>
    </row>
    <row r="13" spans="1:65" x14ac:dyDescent="0.25">
      <c r="A13" s="3">
        <v>7</v>
      </c>
      <c r="B13" s="8" t="s">
        <v>79</v>
      </c>
      <c r="C13" s="9"/>
      <c r="D13" s="9" t="s">
        <v>48</v>
      </c>
      <c r="E13" s="9"/>
      <c r="F13" s="9" t="s">
        <v>48</v>
      </c>
      <c r="G13" s="9" t="s">
        <v>48</v>
      </c>
      <c r="H13" s="9" t="s">
        <v>48</v>
      </c>
      <c r="I13" s="9" t="s">
        <v>48</v>
      </c>
      <c r="J13" s="9" t="s">
        <v>48</v>
      </c>
      <c r="K13" s="9" t="s">
        <v>299</v>
      </c>
      <c r="L13" s="9" t="s">
        <v>48</v>
      </c>
      <c r="M13" s="9" t="s">
        <v>48</v>
      </c>
      <c r="N13" s="9" t="s">
        <v>48</v>
      </c>
      <c r="O13" s="9" t="s">
        <v>299</v>
      </c>
      <c r="P13" s="9" t="s">
        <v>48</v>
      </c>
      <c r="Q13" s="9"/>
      <c r="R13" s="9"/>
      <c r="S13" s="9"/>
      <c r="T13" s="9"/>
      <c r="U13" s="9"/>
      <c r="V13" s="9"/>
      <c r="W13" s="9" t="s">
        <v>299</v>
      </c>
      <c r="X13" s="45" t="s">
        <v>48</v>
      </c>
      <c r="Y13" s="45"/>
      <c r="Z13" s="45"/>
      <c r="AA13" s="45" t="s">
        <v>48</v>
      </c>
      <c r="AB13" s="105">
        <f t="shared" si="0"/>
        <v>12</v>
      </c>
      <c r="AC13" s="101">
        <f t="shared" si="1"/>
        <v>0</v>
      </c>
      <c r="AD13" s="101">
        <f t="shared" si="2"/>
        <v>0</v>
      </c>
      <c r="AE13" s="101">
        <f t="shared" si="3"/>
        <v>-11</v>
      </c>
      <c r="AF13" s="101">
        <f t="shared" si="4"/>
        <v>0</v>
      </c>
      <c r="AG13" s="102">
        <f t="shared" si="5"/>
        <v>0</v>
      </c>
      <c r="AK13" s="195">
        <f t="shared" si="6"/>
        <v>12</v>
      </c>
      <c r="AN13" s="6">
        <f t="shared" si="7"/>
        <v>0</v>
      </c>
      <c r="AO13" s="6">
        <f t="shared" si="8"/>
        <v>-1</v>
      </c>
      <c r="AP13" s="6">
        <f t="shared" si="9"/>
        <v>0</v>
      </c>
      <c r="AQ13" s="6">
        <f t="shared" si="10"/>
        <v>-1</v>
      </c>
      <c r="AR13" s="6">
        <f t="shared" si="11"/>
        <v>-1</v>
      </c>
      <c r="AS13" s="6">
        <f t="shared" si="12"/>
        <v>-1</v>
      </c>
      <c r="AT13" s="6">
        <f t="shared" si="13"/>
        <v>-1</v>
      </c>
      <c r="AU13" s="6">
        <f t="shared" si="14"/>
        <v>0</v>
      </c>
      <c r="AV13" s="6">
        <f t="shared" si="15"/>
        <v>0</v>
      </c>
      <c r="AW13" s="6">
        <f t="shared" si="16"/>
        <v>-1</v>
      </c>
      <c r="AX13" s="6">
        <f t="shared" si="17"/>
        <v>-1</v>
      </c>
      <c r="AY13" s="6">
        <f t="shared" si="18"/>
        <v>-1</v>
      </c>
      <c r="AZ13" s="6">
        <f t="shared" si="19"/>
        <v>0</v>
      </c>
      <c r="BA13" s="6">
        <f t="shared" si="20"/>
        <v>-1</v>
      </c>
      <c r="BB13" s="6">
        <f t="shared" si="21"/>
        <v>0</v>
      </c>
      <c r="BC13" s="6">
        <f t="shared" si="22"/>
        <v>0</v>
      </c>
      <c r="BD13" s="6">
        <f t="shared" si="23"/>
        <v>0</v>
      </c>
      <c r="BE13" s="6">
        <f t="shared" si="24"/>
        <v>0</v>
      </c>
      <c r="BF13" s="6">
        <f t="shared" si="25"/>
        <v>0</v>
      </c>
      <c r="BG13" s="6">
        <f t="shared" si="26"/>
        <v>0</v>
      </c>
      <c r="BH13" s="6">
        <f t="shared" si="27"/>
        <v>0</v>
      </c>
      <c r="BI13" s="6">
        <f t="shared" si="28"/>
        <v>-1</v>
      </c>
      <c r="BJ13" s="6">
        <f t="shared" si="29"/>
        <v>0</v>
      </c>
      <c r="BK13" s="6">
        <f t="shared" si="30"/>
        <v>0</v>
      </c>
      <c r="BL13" s="6">
        <f t="shared" si="31"/>
        <v>-1</v>
      </c>
      <c r="BM13" s="6">
        <f t="shared" si="32"/>
        <v>-11</v>
      </c>
    </row>
    <row r="14" spans="1:65" x14ac:dyDescent="0.25">
      <c r="A14" s="3">
        <v>8</v>
      </c>
      <c r="B14" s="8" t="s">
        <v>77</v>
      </c>
      <c r="C14" s="9"/>
      <c r="D14" s="9" t="s">
        <v>74</v>
      </c>
      <c r="E14" s="9"/>
      <c r="F14" s="9" t="s">
        <v>48</v>
      </c>
      <c r="G14" s="9" t="s">
        <v>299</v>
      </c>
      <c r="H14" s="9" t="s">
        <v>299</v>
      </c>
      <c r="I14" s="9"/>
      <c r="J14" s="9" t="s">
        <v>48</v>
      </c>
      <c r="K14" s="9"/>
      <c r="L14" s="9"/>
      <c r="M14" s="9" t="s">
        <v>74</v>
      </c>
      <c r="N14" s="9" t="s">
        <v>48</v>
      </c>
      <c r="O14" s="9" t="s">
        <v>48</v>
      </c>
      <c r="P14" s="9" t="s">
        <v>48</v>
      </c>
      <c r="Q14" s="9" t="s">
        <v>48</v>
      </c>
      <c r="R14" s="9" t="s">
        <v>48</v>
      </c>
      <c r="S14" s="9"/>
      <c r="T14" s="9"/>
      <c r="U14" s="9"/>
      <c r="V14" s="9"/>
      <c r="W14" s="9" t="s">
        <v>52</v>
      </c>
      <c r="X14" s="45" t="s">
        <v>48</v>
      </c>
      <c r="Y14" s="45"/>
      <c r="Z14" s="45" t="s">
        <v>299</v>
      </c>
      <c r="AA14" s="45" t="s">
        <v>48</v>
      </c>
      <c r="AB14" s="105">
        <f t="shared" si="0"/>
        <v>12</v>
      </c>
      <c r="AC14" s="101">
        <f t="shared" si="1"/>
        <v>0</v>
      </c>
      <c r="AD14" s="101">
        <f t="shared" si="2"/>
        <v>2</v>
      </c>
      <c r="AE14" s="101">
        <f t="shared" si="3"/>
        <v>-8</v>
      </c>
      <c r="AF14" s="101">
        <f t="shared" si="4"/>
        <v>1</v>
      </c>
      <c r="AG14" s="102">
        <f t="shared" si="5"/>
        <v>0</v>
      </c>
      <c r="AH14" s="6"/>
      <c r="AI14" s="6"/>
      <c r="AK14" s="195">
        <f t="shared" si="6"/>
        <v>11</v>
      </c>
      <c r="AN14" s="6">
        <f t="shared" si="7"/>
        <v>0</v>
      </c>
      <c r="AO14" s="6">
        <f t="shared" si="8"/>
        <v>0</v>
      </c>
      <c r="AP14" s="6">
        <f t="shared" si="9"/>
        <v>0</v>
      </c>
      <c r="AQ14" s="6">
        <f t="shared" si="10"/>
        <v>-1</v>
      </c>
      <c r="AR14" s="6">
        <f t="shared" si="11"/>
        <v>0</v>
      </c>
      <c r="AS14" s="6">
        <f t="shared" si="12"/>
        <v>0</v>
      </c>
      <c r="AT14" s="6">
        <f t="shared" si="13"/>
        <v>0</v>
      </c>
      <c r="AU14" s="6">
        <f t="shared" si="14"/>
        <v>0</v>
      </c>
      <c r="AV14" s="6">
        <f t="shared" si="15"/>
        <v>0</v>
      </c>
      <c r="AW14" s="6">
        <f t="shared" si="16"/>
        <v>0</v>
      </c>
      <c r="AX14" s="6">
        <f t="shared" si="17"/>
        <v>0</v>
      </c>
      <c r="AY14" s="6">
        <f t="shared" si="18"/>
        <v>-1</v>
      </c>
      <c r="AZ14" s="6">
        <f t="shared" si="19"/>
        <v>-1</v>
      </c>
      <c r="BA14" s="6">
        <f t="shared" si="20"/>
        <v>-1</v>
      </c>
      <c r="BB14" s="6">
        <f t="shared" si="21"/>
        <v>-1</v>
      </c>
      <c r="BC14" s="6">
        <f t="shared" si="22"/>
        <v>-1</v>
      </c>
      <c r="BD14" s="6">
        <f t="shared" si="23"/>
        <v>0</v>
      </c>
      <c r="BE14" s="6">
        <f t="shared" si="24"/>
        <v>0</v>
      </c>
      <c r="BF14" s="6">
        <f t="shared" si="25"/>
        <v>0</v>
      </c>
      <c r="BG14" s="6">
        <f t="shared" si="26"/>
        <v>0</v>
      </c>
      <c r="BH14" s="6">
        <f t="shared" si="27"/>
        <v>0</v>
      </c>
      <c r="BI14" s="6">
        <f t="shared" si="28"/>
        <v>-1</v>
      </c>
      <c r="BJ14" s="6">
        <f t="shared" si="29"/>
        <v>0</v>
      </c>
      <c r="BK14" s="6">
        <f t="shared" si="30"/>
        <v>0</v>
      </c>
      <c r="BL14" s="6">
        <f t="shared" si="31"/>
        <v>-1</v>
      </c>
      <c r="BM14" s="6">
        <f t="shared" si="32"/>
        <v>-8</v>
      </c>
    </row>
    <row r="15" spans="1:65" x14ac:dyDescent="0.25">
      <c r="A15" s="3">
        <v>9</v>
      </c>
      <c r="B15" s="8" t="s">
        <v>49</v>
      </c>
      <c r="C15" s="9"/>
      <c r="D15" s="9" t="s">
        <v>48</v>
      </c>
      <c r="E15" s="9"/>
      <c r="F15" s="9" t="s">
        <v>299</v>
      </c>
      <c r="G15" s="9"/>
      <c r="H15" s="9" t="s">
        <v>48</v>
      </c>
      <c r="I15" s="9" t="s">
        <v>52</v>
      </c>
      <c r="J15" s="9"/>
      <c r="K15" s="9" t="s">
        <v>299</v>
      </c>
      <c r="L15" s="9" t="s">
        <v>48</v>
      </c>
      <c r="M15" s="9" t="s">
        <v>48</v>
      </c>
      <c r="N15" s="9" t="s">
        <v>48</v>
      </c>
      <c r="O15" s="9" t="s">
        <v>48</v>
      </c>
      <c r="P15" s="9" t="s">
        <v>299</v>
      </c>
      <c r="Q15" s="9" t="s">
        <v>48</v>
      </c>
      <c r="R15" s="9" t="s">
        <v>48</v>
      </c>
      <c r="S15" s="9" t="s">
        <v>48</v>
      </c>
      <c r="T15" s="9"/>
      <c r="U15" s="9"/>
      <c r="V15" s="9"/>
      <c r="W15" s="9" t="s">
        <v>48</v>
      </c>
      <c r="X15" s="45" t="s">
        <v>299</v>
      </c>
      <c r="Y15" s="45"/>
      <c r="Z15" s="45"/>
      <c r="AA15" s="45"/>
      <c r="AB15" s="105">
        <f t="shared" si="0"/>
        <v>11</v>
      </c>
      <c r="AC15" s="101">
        <f t="shared" si="1"/>
        <v>0</v>
      </c>
      <c r="AD15" s="101">
        <f t="shared" si="2"/>
        <v>0</v>
      </c>
      <c r="AE15" s="101">
        <f t="shared" si="3"/>
        <v>-10</v>
      </c>
      <c r="AF15" s="101">
        <f t="shared" si="4"/>
        <v>1</v>
      </c>
      <c r="AG15" s="102" t="e">
        <f t="shared" si="5"/>
        <v>#DIV/0!</v>
      </c>
      <c r="AK15" s="195">
        <f t="shared" si="6"/>
        <v>10</v>
      </c>
      <c r="AN15" s="6">
        <f t="shared" si="7"/>
        <v>0</v>
      </c>
      <c r="AO15" s="6">
        <f t="shared" si="8"/>
        <v>-1</v>
      </c>
      <c r="AP15" s="6">
        <f t="shared" si="9"/>
        <v>0</v>
      </c>
      <c r="AQ15" s="6">
        <f t="shared" si="10"/>
        <v>0</v>
      </c>
      <c r="AR15" s="6">
        <f t="shared" si="11"/>
        <v>0</v>
      </c>
      <c r="AS15" s="6">
        <f t="shared" si="12"/>
        <v>-1</v>
      </c>
      <c r="AT15" s="6">
        <f t="shared" si="13"/>
        <v>0</v>
      </c>
      <c r="AU15" s="6">
        <f t="shared" si="14"/>
        <v>0</v>
      </c>
      <c r="AV15" s="6">
        <f t="shared" si="15"/>
        <v>0</v>
      </c>
      <c r="AW15" s="6">
        <f t="shared" si="16"/>
        <v>-1</v>
      </c>
      <c r="AX15" s="6">
        <f t="shared" si="17"/>
        <v>-1</v>
      </c>
      <c r="AY15" s="6">
        <f t="shared" si="18"/>
        <v>-1</v>
      </c>
      <c r="AZ15" s="6">
        <f t="shared" si="19"/>
        <v>-1</v>
      </c>
      <c r="BA15" s="6">
        <f t="shared" si="20"/>
        <v>0</v>
      </c>
      <c r="BB15" s="6">
        <f t="shared" si="21"/>
        <v>-1</v>
      </c>
      <c r="BC15" s="6">
        <f t="shared" si="22"/>
        <v>-1</v>
      </c>
      <c r="BD15" s="6">
        <f t="shared" si="23"/>
        <v>-1</v>
      </c>
      <c r="BE15" s="6">
        <f t="shared" si="24"/>
        <v>0</v>
      </c>
      <c r="BF15" s="6">
        <f t="shared" si="25"/>
        <v>0</v>
      </c>
      <c r="BG15" s="6">
        <f t="shared" si="26"/>
        <v>0</v>
      </c>
      <c r="BH15" s="6">
        <f t="shared" si="27"/>
        <v>-1</v>
      </c>
      <c r="BI15" s="6">
        <f t="shared" si="28"/>
        <v>0</v>
      </c>
      <c r="BJ15" s="6">
        <f t="shared" si="29"/>
        <v>0</v>
      </c>
      <c r="BK15" s="6">
        <f t="shared" si="30"/>
        <v>0</v>
      </c>
      <c r="BL15" s="6">
        <f t="shared" si="31"/>
        <v>0</v>
      </c>
      <c r="BM15" s="6">
        <f t="shared" si="32"/>
        <v>-10</v>
      </c>
    </row>
    <row r="16" spans="1:65" x14ac:dyDescent="0.25">
      <c r="A16" s="3">
        <v>10</v>
      </c>
      <c r="B16" s="8" t="s">
        <v>55</v>
      </c>
      <c r="C16" s="9" t="s">
        <v>299</v>
      </c>
      <c r="D16" s="9"/>
      <c r="E16" s="9"/>
      <c r="F16" s="9" t="s">
        <v>48</v>
      </c>
      <c r="G16" s="9" t="s">
        <v>299</v>
      </c>
      <c r="H16" s="9" t="s">
        <v>299</v>
      </c>
      <c r="I16" s="9" t="s">
        <v>48</v>
      </c>
      <c r="J16" s="9" t="s">
        <v>48</v>
      </c>
      <c r="K16" s="9" t="s">
        <v>48</v>
      </c>
      <c r="L16" s="9" t="s">
        <v>48</v>
      </c>
      <c r="M16" s="9"/>
      <c r="N16" s="9"/>
      <c r="O16" s="9" t="s">
        <v>299</v>
      </c>
      <c r="P16" s="9"/>
      <c r="Q16" s="9" t="s">
        <v>48</v>
      </c>
      <c r="R16" s="9" t="s">
        <v>48</v>
      </c>
      <c r="S16" s="9" t="s">
        <v>48</v>
      </c>
      <c r="T16" s="9"/>
      <c r="U16" s="9"/>
      <c r="V16" s="9"/>
      <c r="W16" s="9" t="s">
        <v>48</v>
      </c>
      <c r="X16" s="45"/>
      <c r="Y16" s="45"/>
      <c r="Z16" s="45" t="s">
        <v>299</v>
      </c>
      <c r="AA16" s="45" t="s">
        <v>48</v>
      </c>
      <c r="AB16" s="105">
        <f t="shared" si="0"/>
        <v>10</v>
      </c>
      <c r="AC16" s="101">
        <f t="shared" si="1"/>
        <v>0</v>
      </c>
      <c r="AD16" s="101">
        <f t="shared" si="2"/>
        <v>0</v>
      </c>
      <c r="AE16" s="101">
        <f t="shared" si="3"/>
        <v>-9</v>
      </c>
      <c r="AF16" s="101">
        <f t="shared" si="4"/>
        <v>0</v>
      </c>
      <c r="AG16" s="102">
        <f t="shared" si="5"/>
        <v>0</v>
      </c>
      <c r="AH16" s="6"/>
      <c r="AI16" s="6"/>
      <c r="AK16" s="195">
        <f t="shared" si="6"/>
        <v>10</v>
      </c>
      <c r="AN16" s="6">
        <f t="shared" si="7"/>
        <v>0</v>
      </c>
      <c r="AO16" s="6">
        <f t="shared" si="8"/>
        <v>0</v>
      </c>
      <c r="AP16" s="6">
        <f t="shared" si="9"/>
        <v>0</v>
      </c>
      <c r="AQ16" s="6">
        <f t="shared" si="10"/>
        <v>-1</v>
      </c>
      <c r="AR16" s="6">
        <f t="shared" si="11"/>
        <v>0</v>
      </c>
      <c r="AS16" s="6">
        <f t="shared" si="12"/>
        <v>0</v>
      </c>
      <c r="AT16" s="6">
        <f t="shared" si="13"/>
        <v>-1</v>
      </c>
      <c r="AU16" s="6">
        <f t="shared" si="14"/>
        <v>0</v>
      </c>
      <c r="AV16" s="6">
        <f t="shared" si="15"/>
        <v>-1</v>
      </c>
      <c r="AW16" s="6">
        <f t="shared" si="16"/>
        <v>-1</v>
      </c>
      <c r="AX16" s="6">
        <f t="shared" si="17"/>
        <v>0</v>
      </c>
      <c r="AY16" s="6">
        <f t="shared" si="18"/>
        <v>0</v>
      </c>
      <c r="AZ16" s="6">
        <f t="shared" si="19"/>
        <v>0</v>
      </c>
      <c r="BA16" s="6">
        <f t="shared" si="20"/>
        <v>0</v>
      </c>
      <c r="BB16" s="6">
        <f t="shared" si="21"/>
        <v>-1</v>
      </c>
      <c r="BC16" s="6">
        <f t="shared" si="22"/>
        <v>-1</v>
      </c>
      <c r="BD16" s="6">
        <f t="shared" si="23"/>
        <v>-1</v>
      </c>
      <c r="BE16" s="6">
        <f t="shared" si="24"/>
        <v>0</v>
      </c>
      <c r="BF16" s="6">
        <f t="shared" si="25"/>
        <v>0</v>
      </c>
      <c r="BG16" s="6">
        <f t="shared" si="26"/>
        <v>0</v>
      </c>
      <c r="BH16" s="6">
        <f t="shared" si="27"/>
        <v>-1</v>
      </c>
      <c r="BI16" s="6">
        <f t="shared" si="28"/>
        <v>0</v>
      </c>
      <c r="BJ16" s="6">
        <f t="shared" si="29"/>
        <v>0</v>
      </c>
      <c r="BK16" s="6">
        <f t="shared" si="30"/>
        <v>0</v>
      </c>
      <c r="BL16" s="6">
        <f t="shared" si="31"/>
        <v>-1</v>
      </c>
      <c r="BM16" s="6">
        <f t="shared" si="32"/>
        <v>-9</v>
      </c>
    </row>
    <row r="17" spans="1:65" x14ac:dyDescent="0.25">
      <c r="A17" s="3">
        <v>11</v>
      </c>
      <c r="B17" s="8" t="s">
        <v>58</v>
      </c>
      <c r="C17" s="9" t="s">
        <v>48</v>
      </c>
      <c r="D17" s="9"/>
      <c r="E17" s="9" t="s">
        <v>48</v>
      </c>
      <c r="F17" s="9"/>
      <c r="G17" s="9"/>
      <c r="H17" s="9" t="s">
        <v>52</v>
      </c>
      <c r="I17" s="9" t="s">
        <v>52</v>
      </c>
      <c r="J17" s="9"/>
      <c r="K17" s="9" t="s">
        <v>52</v>
      </c>
      <c r="L17" s="9" t="s">
        <v>52</v>
      </c>
      <c r="M17" s="9"/>
      <c r="N17" s="9" t="s">
        <v>52</v>
      </c>
      <c r="O17" s="9" t="s">
        <v>299</v>
      </c>
      <c r="P17" s="9" t="s">
        <v>299</v>
      </c>
      <c r="Q17" s="9" t="s">
        <v>299</v>
      </c>
      <c r="R17" s="9" t="s">
        <v>48</v>
      </c>
      <c r="S17" s="9" t="s">
        <v>48</v>
      </c>
      <c r="T17" s="9"/>
      <c r="U17" s="9"/>
      <c r="V17" s="9"/>
      <c r="W17" s="9" t="s">
        <v>299</v>
      </c>
      <c r="X17" s="45" t="s">
        <v>48</v>
      </c>
      <c r="Y17" s="45"/>
      <c r="Z17" s="45" t="s">
        <v>48</v>
      </c>
      <c r="AA17" s="45"/>
      <c r="AB17" s="105">
        <f t="shared" si="0"/>
        <v>11</v>
      </c>
      <c r="AC17" s="101">
        <f t="shared" si="1"/>
        <v>0</v>
      </c>
      <c r="AD17" s="101">
        <f t="shared" si="2"/>
        <v>0</v>
      </c>
      <c r="AE17" s="101">
        <f t="shared" si="3"/>
        <v>-6</v>
      </c>
      <c r="AF17" s="101">
        <f t="shared" si="4"/>
        <v>5</v>
      </c>
      <c r="AG17" s="102" t="e">
        <f t="shared" si="5"/>
        <v>#DIV/0!</v>
      </c>
      <c r="AK17" s="195">
        <f t="shared" si="6"/>
        <v>6</v>
      </c>
      <c r="AN17" s="6">
        <f t="shared" si="7"/>
        <v>-1</v>
      </c>
      <c r="AO17" s="6">
        <f t="shared" si="8"/>
        <v>0</v>
      </c>
      <c r="AP17" s="6">
        <f t="shared" si="9"/>
        <v>-1</v>
      </c>
      <c r="AQ17" s="6">
        <f t="shared" si="10"/>
        <v>0</v>
      </c>
      <c r="AR17" s="6">
        <f t="shared" si="11"/>
        <v>0</v>
      </c>
      <c r="AS17" s="6">
        <f t="shared" si="12"/>
        <v>0</v>
      </c>
      <c r="AT17" s="6">
        <f t="shared" si="13"/>
        <v>0</v>
      </c>
      <c r="AU17" s="6">
        <f t="shared" si="14"/>
        <v>0</v>
      </c>
      <c r="AV17" s="6">
        <f t="shared" si="15"/>
        <v>0</v>
      </c>
      <c r="AW17" s="6">
        <f t="shared" si="16"/>
        <v>0</v>
      </c>
      <c r="AX17" s="6">
        <f t="shared" si="17"/>
        <v>0</v>
      </c>
      <c r="AY17" s="6">
        <f t="shared" si="18"/>
        <v>0</v>
      </c>
      <c r="AZ17" s="6">
        <f t="shared" si="19"/>
        <v>0</v>
      </c>
      <c r="BA17" s="6">
        <f t="shared" si="20"/>
        <v>0</v>
      </c>
      <c r="BB17" s="6">
        <f t="shared" si="21"/>
        <v>0</v>
      </c>
      <c r="BC17" s="6">
        <f t="shared" si="22"/>
        <v>-1</v>
      </c>
      <c r="BD17" s="6">
        <f t="shared" si="23"/>
        <v>-1</v>
      </c>
      <c r="BE17" s="6">
        <f t="shared" si="24"/>
        <v>0</v>
      </c>
      <c r="BF17" s="6">
        <f t="shared" si="25"/>
        <v>0</v>
      </c>
      <c r="BG17" s="6">
        <f t="shared" si="26"/>
        <v>0</v>
      </c>
      <c r="BH17" s="6">
        <f t="shared" si="27"/>
        <v>0</v>
      </c>
      <c r="BI17" s="6">
        <f t="shared" si="28"/>
        <v>-1</v>
      </c>
      <c r="BJ17" s="6">
        <f t="shared" si="29"/>
        <v>0</v>
      </c>
      <c r="BK17" s="6">
        <f t="shared" si="30"/>
        <v>-1</v>
      </c>
      <c r="BL17" s="6">
        <f t="shared" si="31"/>
        <v>0</v>
      </c>
      <c r="BM17" s="6">
        <f t="shared" si="32"/>
        <v>-6</v>
      </c>
    </row>
    <row r="18" spans="1:65" x14ac:dyDescent="0.25">
      <c r="A18" s="3">
        <v>12</v>
      </c>
      <c r="B18" s="8" t="s">
        <v>116</v>
      </c>
      <c r="C18" s="9" t="s">
        <v>299</v>
      </c>
      <c r="D18" s="9" t="s">
        <v>299</v>
      </c>
      <c r="E18" s="9"/>
      <c r="F18" s="9" t="s">
        <v>52</v>
      </c>
      <c r="G18" s="9" t="s">
        <v>48</v>
      </c>
      <c r="H18" s="9" t="s">
        <v>299</v>
      </c>
      <c r="I18" s="9" t="s">
        <v>48</v>
      </c>
      <c r="J18" s="9"/>
      <c r="K18" s="9" t="s">
        <v>48</v>
      </c>
      <c r="L18" s="9" t="s">
        <v>48</v>
      </c>
      <c r="M18" s="9"/>
      <c r="N18" s="9"/>
      <c r="O18" s="9" t="s">
        <v>299</v>
      </c>
      <c r="P18" s="9" t="s">
        <v>48</v>
      </c>
      <c r="Q18" s="9"/>
      <c r="R18" s="9"/>
      <c r="S18" s="9"/>
      <c r="T18" s="9"/>
      <c r="U18" s="9"/>
      <c r="V18" s="9"/>
      <c r="W18" s="9" t="s">
        <v>52</v>
      </c>
      <c r="X18" s="45" t="s">
        <v>299</v>
      </c>
      <c r="Y18" s="45"/>
      <c r="Z18" s="45" t="s">
        <v>299</v>
      </c>
      <c r="AA18" s="45" t="s">
        <v>299</v>
      </c>
      <c r="AB18" s="105">
        <f t="shared" si="0"/>
        <v>7</v>
      </c>
      <c r="AC18" s="101">
        <f t="shared" si="1"/>
        <v>0</v>
      </c>
      <c r="AD18" s="101">
        <f t="shared" si="2"/>
        <v>0</v>
      </c>
      <c r="AE18" s="101">
        <f t="shared" si="3"/>
        <v>-5</v>
      </c>
      <c r="AF18" s="101">
        <f t="shared" si="4"/>
        <v>2</v>
      </c>
      <c r="AG18" s="102" t="e">
        <f t="shared" si="5"/>
        <v>#DIV/0!</v>
      </c>
      <c r="AH18" s="6"/>
      <c r="AI18" s="6"/>
      <c r="AK18" s="195">
        <f t="shared" si="6"/>
        <v>5</v>
      </c>
      <c r="AN18" s="6">
        <f t="shared" si="7"/>
        <v>0</v>
      </c>
      <c r="AO18" s="6">
        <f t="shared" si="8"/>
        <v>0</v>
      </c>
      <c r="AP18" s="6">
        <f t="shared" si="9"/>
        <v>0</v>
      </c>
      <c r="AQ18" s="6">
        <f t="shared" si="10"/>
        <v>0</v>
      </c>
      <c r="AR18" s="6">
        <f t="shared" si="11"/>
        <v>-1</v>
      </c>
      <c r="AS18" s="6">
        <f t="shared" si="12"/>
        <v>0</v>
      </c>
      <c r="AT18" s="6">
        <f t="shared" si="13"/>
        <v>-1</v>
      </c>
      <c r="AU18" s="6">
        <f t="shared" si="14"/>
        <v>0</v>
      </c>
      <c r="AV18" s="6">
        <f t="shared" si="15"/>
        <v>-1</v>
      </c>
      <c r="AW18" s="6">
        <f t="shared" si="16"/>
        <v>-1</v>
      </c>
      <c r="AX18" s="6">
        <f t="shared" si="17"/>
        <v>0</v>
      </c>
      <c r="AY18" s="6">
        <f t="shared" si="18"/>
        <v>0</v>
      </c>
      <c r="AZ18" s="6">
        <f t="shared" si="19"/>
        <v>0</v>
      </c>
      <c r="BA18" s="6">
        <f t="shared" si="20"/>
        <v>-1</v>
      </c>
      <c r="BB18" s="6">
        <f t="shared" si="21"/>
        <v>0</v>
      </c>
      <c r="BC18" s="6">
        <f t="shared" si="22"/>
        <v>0</v>
      </c>
      <c r="BD18" s="6">
        <f t="shared" si="23"/>
        <v>0</v>
      </c>
      <c r="BE18" s="6">
        <f t="shared" si="24"/>
        <v>0</v>
      </c>
      <c r="BF18" s="6">
        <f t="shared" si="25"/>
        <v>0</v>
      </c>
      <c r="BG18" s="6">
        <f t="shared" si="26"/>
        <v>0</v>
      </c>
      <c r="BH18" s="6">
        <f t="shared" si="27"/>
        <v>0</v>
      </c>
      <c r="BI18" s="6">
        <f t="shared" si="28"/>
        <v>0</v>
      </c>
      <c r="BJ18" s="6">
        <f t="shared" si="29"/>
        <v>0</v>
      </c>
      <c r="BK18" s="6">
        <f t="shared" si="30"/>
        <v>0</v>
      </c>
      <c r="BL18" s="6">
        <f t="shared" si="31"/>
        <v>0</v>
      </c>
      <c r="BM18" s="6">
        <f t="shared" si="32"/>
        <v>-5</v>
      </c>
    </row>
    <row r="19" spans="1:65" x14ac:dyDescent="0.25">
      <c r="A19" s="3">
        <v>13</v>
      </c>
      <c r="B19" s="8" t="s">
        <v>117</v>
      </c>
      <c r="C19" s="9" t="s">
        <v>48</v>
      </c>
      <c r="D19" s="9" t="s">
        <v>48</v>
      </c>
      <c r="E19" s="9"/>
      <c r="F19" s="9" t="s">
        <v>48</v>
      </c>
      <c r="G19" s="9" t="s">
        <v>48</v>
      </c>
      <c r="H19" s="9"/>
      <c r="I19" s="9" t="s">
        <v>48</v>
      </c>
      <c r="J19" s="9" t="s">
        <v>48</v>
      </c>
      <c r="K19" s="9" t="s">
        <v>48</v>
      </c>
      <c r="L19" s="9" t="s">
        <v>48</v>
      </c>
      <c r="M19" s="9"/>
      <c r="N19" s="9" t="s">
        <v>48</v>
      </c>
      <c r="O19" s="9"/>
      <c r="P19" s="9"/>
      <c r="Q19" s="9"/>
      <c r="R19" s="9"/>
      <c r="S19" s="9"/>
      <c r="T19" s="9"/>
      <c r="U19" s="9"/>
      <c r="V19" s="9"/>
      <c r="W19" s="9" t="s">
        <v>299</v>
      </c>
      <c r="X19" s="45" t="s">
        <v>48</v>
      </c>
      <c r="Y19" s="45"/>
      <c r="Z19" s="45" t="s">
        <v>299</v>
      </c>
      <c r="AA19" s="45" t="s">
        <v>48</v>
      </c>
      <c r="AB19" s="105">
        <f t="shared" si="0"/>
        <v>11</v>
      </c>
      <c r="AC19" s="101">
        <f t="shared" si="1"/>
        <v>0</v>
      </c>
      <c r="AD19" s="101">
        <f t="shared" si="2"/>
        <v>0</v>
      </c>
      <c r="AE19" s="101">
        <f t="shared" si="3"/>
        <v>-10</v>
      </c>
      <c r="AF19" s="101">
        <f t="shared" si="4"/>
        <v>0</v>
      </c>
      <c r="AG19" s="102">
        <f t="shared" si="5"/>
        <v>0</v>
      </c>
      <c r="AK19" s="195">
        <f t="shared" si="6"/>
        <v>11</v>
      </c>
      <c r="AN19" s="6">
        <f t="shared" si="7"/>
        <v>-1</v>
      </c>
      <c r="AO19" s="6">
        <f t="shared" si="8"/>
        <v>-1</v>
      </c>
      <c r="AP19" s="6">
        <f t="shared" si="9"/>
        <v>0</v>
      </c>
      <c r="AQ19" s="6">
        <f t="shared" si="10"/>
        <v>-1</v>
      </c>
      <c r="AR19" s="6">
        <f t="shared" si="11"/>
        <v>-1</v>
      </c>
      <c r="AS19" s="6">
        <f t="shared" si="12"/>
        <v>0</v>
      </c>
      <c r="AT19" s="6">
        <f t="shared" si="13"/>
        <v>-1</v>
      </c>
      <c r="AU19" s="6">
        <f t="shared" si="14"/>
        <v>0</v>
      </c>
      <c r="AV19" s="6">
        <f t="shared" si="15"/>
        <v>-1</v>
      </c>
      <c r="AW19" s="6">
        <f t="shared" si="16"/>
        <v>-1</v>
      </c>
      <c r="AX19" s="6">
        <f t="shared" si="17"/>
        <v>0</v>
      </c>
      <c r="AY19" s="6">
        <f t="shared" si="18"/>
        <v>-1</v>
      </c>
      <c r="AZ19" s="6">
        <f t="shared" si="19"/>
        <v>0</v>
      </c>
      <c r="BA19" s="6">
        <f t="shared" si="20"/>
        <v>0</v>
      </c>
      <c r="BB19" s="6">
        <f t="shared" si="21"/>
        <v>0</v>
      </c>
      <c r="BC19" s="6">
        <f t="shared" si="22"/>
        <v>0</v>
      </c>
      <c r="BD19" s="6">
        <f t="shared" si="23"/>
        <v>0</v>
      </c>
      <c r="BE19" s="6">
        <f t="shared" si="24"/>
        <v>0</v>
      </c>
      <c r="BF19" s="6">
        <f t="shared" si="25"/>
        <v>0</v>
      </c>
      <c r="BG19" s="6">
        <f t="shared" si="26"/>
        <v>0</v>
      </c>
      <c r="BH19" s="6">
        <f t="shared" si="27"/>
        <v>0</v>
      </c>
      <c r="BI19" s="6">
        <f t="shared" si="28"/>
        <v>-1</v>
      </c>
      <c r="BJ19" s="6">
        <f t="shared" si="29"/>
        <v>0</v>
      </c>
      <c r="BK19" s="6">
        <f t="shared" si="30"/>
        <v>0</v>
      </c>
      <c r="BL19" s="6">
        <f t="shared" si="31"/>
        <v>-1</v>
      </c>
      <c r="BM19" s="6">
        <f t="shared" si="32"/>
        <v>-10</v>
      </c>
    </row>
    <row r="20" spans="1:65" x14ac:dyDescent="0.25">
      <c r="A20" s="3">
        <v>14</v>
      </c>
      <c r="B20" s="8" t="s">
        <v>53</v>
      </c>
      <c r="C20" s="9" t="s">
        <v>48</v>
      </c>
      <c r="D20" s="9" t="s">
        <v>48</v>
      </c>
      <c r="E20" s="9"/>
      <c r="F20" s="9"/>
      <c r="G20" s="9" t="s">
        <v>48</v>
      </c>
      <c r="H20" s="9"/>
      <c r="I20" s="9" t="s">
        <v>299</v>
      </c>
      <c r="J20" s="9" t="s">
        <v>48</v>
      </c>
      <c r="K20" s="9" t="s">
        <v>48</v>
      </c>
      <c r="L20" s="9"/>
      <c r="M20" s="9"/>
      <c r="N20" s="9" t="s">
        <v>299</v>
      </c>
      <c r="O20" s="9" t="s">
        <v>48</v>
      </c>
      <c r="P20" s="9" t="s">
        <v>48</v>
      </c>
      <c r="Q20" s="9" t="s">
        <v>48</v>
      </c>
      <c r="R20" s="9"/>
      <c r="S20" s="9" t="s">
        <v>299</v>
      </c>
      <c r="T20" s="9"/>
      <c r="U20" s="9"/>
      <c r="V20" s="9"/>
      <c r="W20" s="9" t="s">
        <v>52</v>
      </c>
      <c r="X20" s="45"/>
      <c r="Y20" s="45"/>
      <c r="Z20" s="45" t="s">
        <v>299</v>
      </c>
      <c r="AA20" s="45"/>
      <c r="AB20" s="105">
        <f t="shared" si="0"/>
        <v>9</v>
      </c>
      <c r="AC20" s="101">
        <f t="shared" si="1"/>
        <v>0</v>
      </c>
      <c r="AD20" s="101">
        <f t="shared" si="2"/>
        <v>0</v>
      </c>
      <c r="AE20" s="101">
        <f t="shared" si="3"/>
        <v>-7</v>
      </c>
      <c r="AF20" s="101">
        <f t="shared" si="4"/>
        <v>1</v>
      </c>
      <c r="AG20" s="102">
        <f t="shared" si="5"/>
        <v>0</v>
      </c>
      <c r="AK20" s="195">
        <f t="shared" si="6"/>
        <v>8</v>
      </c>
      <c r="AN20" s="6">
        <f t="shared" si="7"/>
        <v>-1</v>
      </c>
      <c r="AO20" s="6">
        <f t="shared" si="8"/>
        <v>-1</v>
      </c>
      <c r="AP20" s="6">
        <f t="shared" si="9"/>
        <v>0</v>
      </c>
      <c r="AQ20" s="6">
        <f t="shared" si="10"/>
        <v>0</v>
      </c>
      <c r="AR20" s="6">
        <f t="shared" si="11"/>
        <v>-1</v>
      </c>
      <c r="AS20" s="6">
        <f t="shared" si="12"/>
        <v>0</v>
      </c>
      <c r="AT20" s="6">
        <f t="shared" si="13"/>
        <v>0</v>
      </c>
      <c r="AU20" s="6">
        <f t="shared" si="14"/>
        <v>0</v>
      </c>
      <c r="AV20" s="6">
        <f t="shared" si="15"/>
        <v>-1</v>
      </c>
      <c r="AW20" s="6">
        <f t="shared" si="16"/>
        <v>0</v>
      </c>
      <c r="AX20" s="6">
        <f t="shared" si="17"/>
        <v>0</v>
      </c>
      <c r="AY20" s="6">
        <f t="shared" si="18"/>
        <v>0</v>
      </c>
      <c r="AZ20" s="6">
        <f t="shared" si="19"/>
        <v>-1</v>
      </c>
      <c r="BA20" s="6">
        <f t="shared" si="20"/>
        <v>-1</v>
      </c>
      <c r="BB20" s="6">
        <f t="shared" si="21"/>
        <v>-1</v>
      </c>
      <c r="BC20" s="6">
        <f t="shared" si="22"/>
        <v>0</v>
      </c>
      <c r="BD20" s="6">
        <f t="shared" si="23"/>
        <v>0</v>
      </c>
      <c r="BE20" s="6">
        <f t="shared" si="24"/>
        <v>0</v>
      </c>
      <c r="BF20" s="6">
        <f t="shared" si="25"/>
        <v>0</v>
      </c>
      <c r="BG20" s="6">
        <f t="shared" si="26"/>
        <v>0</v>
      </c>
      <c r="BH20" s="6">
        <f t="shared" si="27"/>
        <v>0</v>
      </c>
      <c r="BI20" s="6">
        <f t="shared" si="28"/>
        <v>0</v>
      </c>
      <c r="BJ20" s="6">
        <f t="shared" si="29"/>
        <v>0</v>
      </c>
      <c r="BK20" s="6">
        <f t="shared" si="30"/>
        <v>0</v>
      </c>
      <c r="BL20" s="6">
        <f t="shared" si="31"/>
        <v>0</v>
      </c>
      <c r="BM20" s="6">
        <f t="shared" si="32"/>
        <v>-7</v>
      </c>
    </row>
    <row r="21" spans="1:65" x14ac:dyDescent="0.25">
      <c r="A21" s="3">
        <v>15</v>
      </c>
      <c r="B21" s="8" t="s">
        <v>72</v>
      </c>
      <c r="C21" s="9" t="s">
        <v>52</v>
      </c>
      <c r="D21" s="9"/>
      <c r="E21" s="9"/>
      <c r="F21" s="9"/>
      <c r="G21" s="9"/>
      <c r="H21" s="9" t="s">
        <v>48</v>
      </c>
      <c r="I21" s="9" t="s">
        <v>299</v>
      </c>
      <c r="J21" s="9" t="s">
        <v>48</v>
      </c>
      <c r="K21" s="9"/>
      <c r="L21" s="9"/>
      <c r="M21" s="9" t="s">
        <v>48</v>
      </c>
      <c r="N21" s="9"/>
      <c r="O21" s="9" t="s">
        <v>299</v>
      </c>
      <c r="P21" s="9" t="s">
        <v>48</v>
      </c>
      <c r="Q21" s="9" t="s">
        <v>52</v>
      </c>
      <c r="R21" s="9" t="s">
        <v>48</v>
      </c>
      <c r="S21" s="9" t="s">
        <v>48</v>
      </c>
      <c r="T21" s="9"/>
      <c r="U21" s="9"/>
      <c r="V21" s="9"/>
      <c r="W21" s="9" t="s">
        <v>48</v>
      </c>
      <c r="X21" s="45"/>
      <c r="Y21" s="45"/>
      <c r="Z21" s="45" t="s">
        <v>52</v>
      </c>
      <c r="AA21" s="45"/>
      <c r="AB21" s="105">
        <f t="shared" si="0"/>
        <v>10</v>
      </c>
      <c r="AC21" s="101">
        <f t="shared" si="1"/>
        <v>0</v>
      </c>
      <c r="AD21" s="101">
        <f t="shared" si="2"/>
        <v>0</v>
      </c>
      <c r="AE21" s="101">
        <f t="shared" si="3"/>
        <v>-6</v>
      </c>
      <c r="AF21" s="101">
        <f t="shared" si="4"/>
        <v>3</v>
      </c>
      <c r="AG21" s="102">
        <f t="shared" si="5"/>
        <v>0</v>
      </c>
      <c r="AH21" s="6"/>
      <c r="AI21" s="6"/>
      <c r="AK21" s="195">
        <f t="shared" si="6"/>
        <v>7</v>
      </c>
      <c r="AN21" s="6">
        <f t="shared" si="7"/>
        <v>0</v>
      </c>
      <c r="AO21" s="6">
        <f t="shared" si="8"/>
        <v>0</v>
      </c>
      <c r="AP21" s="6">
        <f t="shared" si="9"/>
        <v>0</v>
      </c>
      <c r="AQ21" s="6">
        <f t="shared" si="10"/>
        <v>0</v>
      </c>
      <c r="AR21" s="6">
        <f t="shared" si="11"/>
        <v>0</v>
      </c>
      <c r="AS21" s="6">
        <f t="shared" si="12"/>
        <v>-1</v>
      </c>
      <c r="AT21" s="6">
        <f t="shared" si="13"/>
        <v>0</v>
      </c>
      <c r="AU21" s="6">
        <f t="shared" si="14"/>
        <v>0</v>
      </c>
      <c r="AV21" s="6">
        <f t="shared" si="15"/>
        <v>0</v>
      </c>
      <c r="AW21" s="6">
        <f t="shared" si="16"/>
        <v>0</v>
      </c>
      <c r="AX21" s="6">
        <f t="shared" si="17"/>
        <v>-1</v>
      </c>
      <c r="AY21" s="6">
        <f t="shared" si="18"/>
        <v>0</v>
      </c>
      <c r="AZ21" s="6">
        <f t="shared" si="19"/>
        <v>0</v>
      </c>
      <c r="BA21" s="6">
        <f t="shared" si="20"/>
        <v>-1</v>
      </c>
      <c r="BB21" s="6">
        <f t="shared" si="21"/>
        <v>0</v>
      </c>
      <c r="BC21" s="6">
        <f t="shared" si="22"/>
        <v>-1</v>
      </c>
      <c r="BD21" s="6">
        <f t="shared" si="23"/>
        <v>-1</v>
      </c>
      <c r="BE21" s="6">
        <f t="shared" si="24"/>
        <v>0</v>
      </c>
      <c r="BF21" s="6">
        <f t="shared" si="25"/>
        <v>0</v>
      </c>
      <c r="BG21" s="6">
        <f t="shared" si="26"/>
        <v>0</v>
      </c>
      <c r="BH21" s="6">
        <f t="shared" si="27"/>
        <v>-1</v>
      </c>
      <c r="BI21" s="6">
        <f t="shared" si="28"/>
        <v>0</v>
      </c>
      <c r="BJ21" s="6">
        <f t="shared" si="29"/>
        <v>0</v>
      </c>
      <c r="BK21" s="6">
        <f t="shared" si="30"/>
        <v>0</v>
      </c>
      <c r="BL21" s="6">
        <f t="shared" si="31"/>
        <v>0</v>
      </c>
      <c r="BM21" s="6">
        <f t="shared" si="32"/>
        <v>-6</v>
      </c>
    </row>
    <row r="22" spans="1:65" x14ac:dyDescent="0.25">
      <c r="A22" s="3">
        <v>16</v>
      </c>
      <c r="B22" s="8" t="s">
        <v>123</v>
      </c>
      <c r="C22" s="9"/>
      <c r="D22" s="9"/>
      <c r="E22" s="9" t="s">
        <v>48</v>
      </c>
      <c r="F22" s="9"/>
      <c r="G22" s="9" t="s">
        <v>48</v>
      </c>
      <c r="H22" s="9" t="s">
        <v>48</v>
      </c>
      <c r="I22" s="9" t="s">
        <v>299</v>
      </c>
      <c r="J22" s="9"/>
      <c r="K22" s="9" t="s">
        <v>48</v>
      </c>
      <c r="L22" s="9"/>
      <c r="M22" s="9" t="s">
        <v>48</v>
      </c>
      <c r="N22" s="9" t="s">
        <v>48</v>
      </c>
      <c r="O22" s="9"/>
      <c r="P22" s="9"/>
      <c r="Q22" s="9"/>
      <c r="R22" s="9"/>
      <c r="S22" s="9"/>
      <c r="T22" s="9"/>
      <c r="U22" s="9"/>
      <c r="V22" s="9"/>
      <c r="W22" s="9" t="s">
        <v>299</v>
      </c>
      <c r="X22" s="45" t="s">
        <v>48</v>
      </c>
      <c r="Y22" s="45"/>
      <c r="Z22" s="45"/>
      <c r="AA22" s="45"/>
      <c r="AB22" s="105">
        <f t="shared" si="0"/>
        <v>7</v>
      </c>
      <c r="AC22" s="101">
        <f t="shared" si="1"/>
        <v>0</v>
      </c>
      <c r="AD22" s="101">
        <f t="shared" si="2"/>
        <v>0</v>
      </c>
      <c r="AE22" s="101">
        <f t="shared" si="3"/>
        <v>-7</v>
      </c>
      <c r="AF22" s="101">
        <f t="shared" si="4"/>
        <v>0</v>
      </c>
      <c r="AG22" s="102" t="e">
        <f t="shared" si="5"/>
        <v>#DIV/0!</v>
      </c>
      <c r="AK22" s="195">
        <f t="shared" si="6"/>
        <v>7</v>
      </c>
      <c r="AN22" s="6">
        <f t="shared" si="7"/>
        <v>0</v>
      </c>
      <c r="AO22" s="6">
        <f t="shared" si="8"/>
        <v>0</v>
      </c>
      <c r="AP22" s="6">
        <f t="shared" si="9"/>
        <v>-1</v>
      </c>
      <c r="AQ22" s="6">
        <f t="shared" si="10"/>
        <v>0</v>
      </c>
      <c r="AR22" s="6">
        <f t="shared" si="11"/>
        <v>-1</v>
      </c>
      <c r="AS22" s="6">
        <f t="shared" si="12"/>
        <v>-1</v>
      </c>
      <c r="AT22" s="6">
        <f t="shared" si="13"/>
        <v>0</v>
      </c>
      <c r="AU22" s="6">
        <f t="shared" si="14"/>
        <v>0</v>
      </c>
      <c r="AV22" s="6">
        <f t="shared" si="15"/>
        <v>-1</v>
      </c>
      <c r="AW22" s="6">
        <f t="shared" si="16"/>
        <v>0</v>
      </c>
      <c r="AX22" s="6">
        <f t="shared" si="17"/>
        <v>-1</v>
      </c>
      <c r="AY22" s="6">
        <f t="shared" si="18"/>
        <v>-1</v>
      </c>
      <c r="AZ22" s="6">
        <f t="shared" si="19"/>
        <v>0</v>
      </c>
      <c r="BA22" s="6">
        <f t="shared" si="20"/>
        <v>0</v>
      </c>
      <c r="BB22" s="6">
        <f t="shared" si="21"/>
        <v>0</v>
      </c>
      <c r="BC22" s="6">
        <f t="shared" si="22"/>
        <v>0</v>
      </c>
      <c r="BD22" s="6">
        <f t="shared" si="23"/>
        <v>0</v>
      </c>
      <c r="BE22" s="6">
        <f t="shared" si="24"/>
        <v>0</v>
      </c>
      <c r="BF22" s="6">
        <f t="shared" si="25"/>
        <v>0</v>
      </c>
      <c r="BG22" s="6">
        <f t="shared" si="26"/>
        <v>0</v>
      </c>
      <c r="BH22" s="6">
        <f t="shared" si="27"/>
        <v>0</v>
      </c>
      <c r="BI22" s="6">
        <f t="shared" si="28"/>
        <v>-1</v>
      </c>
      <c r="BJ22" s="6">
        <f t="shared" si="29"/>
        <v>0</v>
      </c>
      <c r="BK22" s="6">
        <f t="shared" si="30"/>
        <v>0</v>
      </c>
      <c r="BL22" s="6">
        <f t="shared" si="31"/>
        <v>0</v>
      </c>
      <c r="BM22" s="6">
        <f t="shared" si="32"/>
        <v>-7</v>
      </c>
    </row>
    <row r="23" spans="1:65" x14ac:dyDescent="0.25">
      <c r="A23" s="3">
        <v>17</v>
      </c>
      <c r="B23" s="8" t="s">
        <v>68</v>
      </c>
      <c r="C23" s="9"/>
      <c r="D23" s="9"/>
      <c r="E23" s="9" t="s">
        <v>48</v>
      </c>
      <c r="F23" s="9" t="s">
        <v>48</v>
      </c>
      <c r="G23" s="9"/>
      <c r="H23" s="9"/>
      <c r="I23" s="9" t="s">
        <v>299</v>
      </c>
      <c r="J23" s="9"/>
      <c r="K23" s="9" t="s">
        <v>48</v>
      </c>
      <c r="L23" s="9" t="s">
        <v>52</v>
      </c>
      <c r="M23" s="9"/>
      <c r="N23" s="9" t="s">
        <v>52</v>
      </c>
      <c r="O23" s="9" t="s">
        <v>52</v>
      </c>
      <c r="P23" s="9"/>
      <c r="Q23" s="9"/>
      <c r="R23" s="9"/>
      <c r="S23" s="9" t="s">
        <v>299</v>
      </c>
      <c r="T23" s="9"/>
      <c r="U23" s="9"/>
      <c r="V23" s="9"/>
      <c r="W23" s="9" t="s">
        <v>52</v>
      </c>
      <c r="X23" s="45"/>
      <c r="Y23" s="45"/>
      <c r="Z23" s="45"/>
      <c r="AA23" s="45"/>
      <c r="AB23" s="105">
        <f t="shared" si="0"/>
        <v>7</v>
      </c>
      <c r="AC23" s="101">
        <f t="shared" si="1"/>
        <v>0</v>
      </c>
      <c r="AD23" s="101">
        <f t="shared" si="2"/>
        <v>0</v>
      </c>
      <c r="AE23" s="101">
        <f t="shared" si="3"/>
        <v>-3</v>
      </c>
      <c r="AF23" s="101">
        <f t="shared" si="4"/>
        <v>4</v>
      </c>
      <c r="AG23" s="102" t="e">
        <f t="shared" si="5"/>
        <v>#DIV/0!</v>
      </c>
      <c r="AK23" s="195">
        <f t="shared" si="6"/>
        <v>3</v>
      </c>
      <c r="AN23" s="6">
        <f t="shared" si="7"/>
        <v>0</v>
      </c>
      <c r="AO23" s="6">
        <f t="shared" si="8"/>
        <v>0</v>
      </c>
      <c r="AP23" s="6">
        <f t="shared" si="9"/>
        <v>-1</v>
      </c>
      <c r="AQ23" s="6">
        <f t="shared" si="10"/>
        <v>-1</v>
      </c>
      <c r="AR23" s="6">
        <f t="shared" si="11"/>
        <v>0</v>
      </c>
      <c r="AS23" s="6">
        <f t="shared" si="12"/>
        <v>0</v>
      </c>
      <c r="AT23" s="6">
        <f t="shared" si="13"/>
        <v>0</v>
      </c>
      <c r="AU23" s="6">
        <f t="shared" si="14"/>
        <v>0</v>
      </c>
      <c r="AV23" s="6">
        <f t="shared" si="15"/>
        <v>-1</v>
      </c>
      <c r="AW23" s="6">
        <f t="shared" si="16"/>
        <v>0</v>
      </c>
      <c r="AX23" s="6">
        <f t="shared" si="17"/>
        <v>0</v>
      </c>
      <c r="AY23" s="6">
        <f t="shared" si="18"/>
        <v>0</v>
      </c>
      <c r="AZ23" s="6">
        <f t="shared" si="19"/>
        <v>0</v>
      </c>
      <c r="BA23" s="6">
        <f t="shared" si="20"/>
        <v>0</v>
      </c>
      <c r="BB23" s="6">
        <f t="shared" si="21"/>
        <v>0</v>
      </c>
      <c r="BC23" s="6">
        <f t="shared" si="22"/>
        <v>0</v>
      </c>
      <c r="BD23" s="6">
        <f t="shared" si="23"/>
        <v>0</v>
      </c>
      <c r="BE23" s="6">
        <f t="shared" si="24"/>
        <v>0</v>
      </c>
      <c r="BF23" s="6">
        <f t="shared" si="25"/>
        <v>0</v>
      </c>
      <c r="BG23" s="6">
        <f t="shared" si="26"/>
        <v>0</v>
      </c>
      <c r="BH23" s="6">
        <f t="shared" si="27"/>
        <v>0</v>
      </c>
      <c r="BI23" s="6">
        <f t="shared" si="28"/>
        <v>0</v>
      </c>
      <c r="BJ23" s="6">
        <f t="shared" si="29"/>
        <v>0</v>
      </c>
      <c r="BK23" s="6">
        <f t="shared" si="30"/>
        <v>0</v>
      </c>
      <c r="BL23" s="6">
        <f t="shared" si="31"/>
        <v>0</v>
      </c>
      <c r="BM23" s="6">
        <f t="shared" si="32"/>
        <v>-3</v>
      </c>
    </row>
    <row r="24" spans="1:65" x14ac:dyDescent="0.25">
      <c r="A24" s="3">
        <v>18</v>
      </c>
      <c r="B24" s="8" t="s">
        <v>82</v>
      </c>
      <c r="C24" s="9"/>
      <c r="D24" s="9"/>
      <c r="E24" s="9"/>
      <c r="F24" s="159" t="s">
        <v>299</v>
      </c>
      <c r="G24" s="159" t="s">
        <v>299</v>
      </c>
      <c r="H24" s="9" t="s">
        <v>52</v>
      </c>
      <c r="I24" s="9" t="s">
        <v>52</v>
      </c>
      <c r="J24" s="9"/>
      <c r="K24" s="9" t="s">
        <v>52</v>
      </c>
      <c r="L24" s="9" t="s">
        <v>52</v>
      </c>
      <c r="M24" s="9"/>
      <c r="N24" s="9" t="s">
        <v>52</v>
      </c>
      <c r="O24" s="9" t="s">
        <v>52</v>
      </c>
      <c r="P24" s="9"/>
      <c r="Q24" s="159"/>
      <c r="R24" s="160"/>
      <c r="S24" s="159"/>
      <c r="T24" s="9"/>
      <c r="U24" s="9"/>
      <c r="V24" s="9"/>
      <c r="W24" s="9"/>
      <c r="X24" s="45" t="s">
        <v>52</v>
      </c>
      <c r="Y24" s="45"/>
      <c r="Z24" s="45"/>
      <c r="AA24" s="45"/>
      <c r="AB24" s="105">
        <f t="shared" si="0"/>
        <v>7</v>
      </c>
      <c r="AC24" s="101">
        <f t="shared" si="1"/>
        <v>0</v>
      </c>
      <c r="AD24" s="101">
        <f t="shared" si="2"/>
        <v>0</v>
      </c>
      <c r="AE24" s="101">
        <f t="shared" si="3"/>
        <v>0</v>
      </c>
      <c r="AF24" s="101">
        <f t="shared" si="4"/>
        <v>7</v>
      </c>
      <c r="AG24" s="102" t="e">
        <f t="shared" si="5"/>
        <v>#DIV/0!</v>
      </c>
      <c r="AH24" s="6"/>
      <c r="AI24" s="6"/>
      <c r="AK24" s="195">
        <f t="shared" si="6"/>
        <v>0</v>
      </c>
      <c r="AN24" s="6">
        <f t="shared" si="7"/>
        <v>0</v>
      </c>
      <c r="AO24" s="6">
        <f t="shared" si="8"/>
        <v>0</v>
      </c>
      <c r="AP24" s="6">
        <f t="shared" si="9"/>
        <v>0</v>
      </c>
      <c r="AQ24" s="6">
        <f t="shared" si="10"/>
        <v>0</v>
      </c>
      <c r="AR24" s="6">
        <f t="shared" si="11"/>
        <v>0</v>
      </c>
      <c r="AS24" s="6">
        <f t="shared" si="12"/>
        <v>0</v>
      </c>
      <c r="AT24" s="6">
        <f t="shared" si="13"/>
        <v>0</v>
      </c>
      <c r="AU24" s="6">
        <f t="shared" si="14"/>
        <v>0</v>
      </c>
      <c r="AV24" s="6">
        <f t="shared" si="15"/>
        <v>0</v>
      </c>
      <c r="AW24" s="6">
        <f t="shared" si="16"/>
        <v>0</v>
      </c>
      <c r="AX24" s="6">
        <f t="shared" si="17"/>
        <v>0</v>
      </c>
      <c r="AY24" s="6">
        <f t="shared" si="18"/>
        <v>0</v>
      </c>
      <c r="AZ24" s="6">
        <f t="shared" si="19"/>
        <v>0</v>
      </c>
      <c r="BA24" s="6">
        <f t="shared" si="20"/>
        <v>0</v>
      </c>
      <c r="BB24" s="6">
        <f t="shared" si="21"/>
        <v>0</v>
      </c>
      <c r="BC24" s="6">
        <f t="shared" si="22"/>
        <v>0</v>
      </c>
      <c r="BD24" s="6">
        <f t="shared" si="23"/>
        <v>0</v>
      </c>
      <c r="BE24" s="6">
        <f t="shared" si="24"/>
        <v>0</v>
      </c>
      <c r="BF24" s="6">
        <f t="shared" si="25"/>
        <v>0</v>
      </c>
      <c r="BG24" s="6">
        <f t="shared" si="26"/>
        <v>0</v>
      </c>
      <c r="BH24" s="6">
        <f t="shared" si="27"/>
        <v>0</v>
      </c>
      <c r="BI24" s="6">
        <f t="shared" si="28"/>
        <v>0</v>
      </c>
      <c r="BJ24" s="6">
        <f t="shared" si="29"/>
        <v>0</v>
      </c>
      <c r="BK24" s="6">
        <f t="shared" si="30"/>
        <v>0</v>
      </c>
      <c r="BL24" s="6">
        <f t="shared" si="31"/>
        <v>0</v>
      </c>
      <c r="BM24" s="6">
        <f t="shared" si="32"/>
        <v>0</v>
      </c>
    </row>
    <row r="25" spans="1:65" x14ac:dyDescent="0.25">
      <c r="A25" s="3">
        <v>19</v>
      </c>
      <c r="B25" s="8" t="s">
        <v>57</v>
      </c>
      <c r="C25" s="9"/>
      <c r="D25" s="9"/>
      <c r="E25" s="9" t="s">
        <v>48</v>
      </c>
      <c r="F25" s="9" t="s">
        <v>299</v>
      </c>
      <c r="G25" s="9" t="s">
        <v>52</v>
      </c>
      <c r="H25" s="9"/>
      <c r="I25" s="9"/>
      <c r="J25" s="9"/>
      <c r="K25" s="9"/>
      <c r="L25" s="9"/>
      <c r="M25" s="9" t="s">
        <v>48</v>
      </c>
      <c r="N25" s="9"/>
      <c r="O25" s="9"/>
      <c r="P25" s="9"/>
      <c r="Q25" s="9"/>
      <c r="R25" s="9" t="s">
        <v>299</v>
      </c>
      <c r="S25" s="9" t="s">
        <v>299</v>
      </c>
      <c r="T25" s="9"/>
      <c r="U25" s="9"/>
      <c r="V25" s="9"/>
      <c r="W25" s="9" t="s">
        <v>52</v>
      </c>
      <c r="X25" s="45"/>
      <c r="Y25" s="45"/>
      <c r="Z25" s="45"/>
      <c r="AA25" s="45" t="s">
        <v>299</v>
      </c>
      <c r="AB25" s="105">
        <f t="shared" si="0"/>
        <v>4</v>
      </c>
      <c r="AC25" s="101">
        <f t="shared" si="1"/>
        <v>0</v>
      </c>
      <c r="AD25" s="101">
        <f t="shared" si="2"/>
        <v>0</v>
      </c>
      <c r="AE25" s="101">
        <f t="shared" si="3"/>
        <v>-2</v>
      </c>
      <c r="AF25" s="101">
        <f t="shared" si="4"/>
        <v>2</v>
      </c>
      <c r="AG25" s="102" t="e">
        <f t="shared" si="5"/>
        <v>#DIV/0!</v>
      </c>
      <c r="AH25" s="6" t="s">
        <v>69</v>
      </c>
      <c r="AI25" s="6"/>
      <c r="AK25" s="195">
        <f t="shared" si="6"/>
        <v>2</v>
      </c>
      <c r="AN25" s="6">
        <f t="shared" si="7"/>
        <v>0</v>
      </c>
      <c r="AO25" s="6">
        <f t="shared" si="8"/>
        <v>0</v>
      </c>
      <c r="AP25" s="6">
        <f t="shared" si="9"/>
        <v>-1</v>
      </c>
      <c r="AQ25" s="6">
        <f t="shared" si="10"/>
        <v>0</v>
      </c>
      <c r="AR25" s="6">
        <f t="shared" si="11"/>
        <v>0</v>
      </c>
      <c r="AS25" s="6">
        <f t="shared" si="12"/>
        <v>0</v>
      </c>
      <c r="AT25" s="6">
        <f t="shared" si="13"/>
        <v>0</v>
      </c>
      <c r="AU25" s="6">
        <f t="shared" si="14"/>
        <v>0</v>
      </c>
      <c r="AV25" s="6">
        <f t="shared" si="15"/>
        <v>0</v>
      </c>
      <c r="AW25" s="6">
        <f t="shared" si="16"/>
        <v>0</v>
      </c>
      <c r="AX25" s="6">
        <f t="shared" si="17"/>
        <v>-1</v>
      </c>
      <c r="AY25" s="6">
        <f t="shared" si="18"/>
        <v>0</v>
      </c>
      <c r="AZ25" s="6">
        <f t="shared" si="19"/>
        <v>0</v>
      </c>
      <c r="BA25" s="6">
        <f t="shared" si="20"/>
        <v>0</v>
      </c>
      <c r="BB25" s="6">
        <f t="shared" si="21"/>
        <v>0</v>
      </c>
      <c r="BC25" s="6">
        <f t="shared" si="22"/>
        <v>0</v>
      </c>
      <c r="BD25" s="6">
        <f t="shared" si="23"/>
        <v>0</v>
      </c>
      <c r="BE25" s="6">
        <f t="shared" si="24"/>
        <v>0</v>
      </c>
      <c r="BF25" s="6">
        <f t="shared" si="25"/>
        <v>0</v>
      </c>
      <c r="BG25" s="6">
        <f t="shared" si="26"/>
        <v>0</v>
      </c>
      <c r="BH25" s="6">
        <f t="shared" si="27"/>
        <v>0</v>
      </c>
      <c r="BI25" s="6">
        <f t="shared" si="28"/>
        <v>0</v>
      </c>
      <c r="BJ25" s="6">
        <f t="shared" si="29"/>
        <v>0</v>
      </c>
      <c r="BK25" s="6">
        <f t="shared" si="30"/>
        <v>0</v>
      </c>
      <c r="BL25" s="6">
        <f t="shared" si="31"/>
        <v>0</v>
      </c>
      <c r="BM25" s="6">
        <f t="shared" si="32"/>
        <v>-2</v>
      </c>
    </row>
    <row r="26" spans="1:65" x14ac:dyDescent="0.25">
      <c r="A26" s="3">
        <v>20</v>
      </c>
      <c r="B26" s="8" t="s">
        <v>70</v>
      </c>
      <c r="C26" s="9" t="s">
        <v>52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 t="s">
        <v>52</v>
      </c>
      <c r="R26" s="9" t="s">
        <v>299</v>
      </c>
      <c r="S26" s="9" t="s">
        <v>48</v>
      </c>
      <c r="T26" s="9"/>
      <c r="U26" s="9"/>
      <c r="V26" s="9"/>
      <c r="W26" s="9" t="s">
        <v>48</v>
      </c>
      <c r="X26" s="45"/>
      <c r="Y26" s="45"/>
      <c r="Z26" s="45" t="s">
        <v>48</v>
      </c>
      <c r="AA26" s="45"/>
      <c r="AB26" s="105">
        <f t="shared" si="0"/>
        <v>5</v>
      </c>
      <c r="AC26" s="101">
        <f t="shared" si="1"/>
        <v>0</v>
      </c>
      <c r="AD26" s="101">
        <f t="shared" si="2"/>
        <v>0</v>
      </c>
      <c r="AE26" s="101">
        <f t="shared" si="3"/>
        <v>-3</v>
      </c>
      <c r="AF26" s="101">
        <f t="shared" si="4"/>
        <v>2</v>
      </c>
      <c r="AG26" s="102" t="e">
        <f t="shared" si="5"/>
        <v>#DIV/0!</v>
      </c>
      <c r="AH26" s="6"/>
      <c r="AI26" s="6"/>
      <c r="AK26" s="195">
        <f t="shared" si="6"/>
        <v>3</v>
      </c>
      <c r="AN26" s="6">
        <f t="shared" si="7"/>
        <v>0</v>
      </c>
      <c r="AO26" s="6">
        <f t="shared" si="8"/>
        <v>0</v>
      </c>
      <c r="AP26" s="6">
        <f t="shared" si="9"/>
        <v>0</v>
      </c>
      <c r="AQ26" s="6">
        <f t="shared" si="10"/>
        <v>0</v>
      </c>
      <c r="AR26" s="6">
        <f t="shared" si="11"/>
        <v>0</v>
      </c>
      <c r="AS26" s="6">
        <f t="shared" si="12"/>
        <v>0</v>
      </c>
      <c r="AT26" s="6">
        <f t="shared" si="13"/>
        <v>0</v>
      </c>
      <c r="AU26" s="6">
        <f t="shared" si="14"/>
        <v>0</v>
      </c>
      <c r="AV26" s="6">
        <f t="shared" si="15"/>
        <v>0</v>
      </c>
      <c r="AW26" s="6">
        <f t="shared" si="16"/>
        <v>0</v>
      </c>
      <c r="AX26" s="6">
        <f t="shared" si="17"/>
        <v>0</v>
      </c>
      <c r="AY26" s="6">
        <f t="shared" si="18"/>
        <v>0</v>
      </c>
      <c r="AZ26" s="6">
        <f t="shared" si="19"/>
        <v>0</v>
      </c>
      <c r="BA26" s="6">
        <f t="shared" si="20"/>
        <v>0</v>
      </c>
      <c r="BB26" s="6">
        <f t="shared" si="21"/>
        <v>0</v>
      </c>
      <c r="BC26" s="6">
        <f t="shared" si="22"/>
        <v>0</v>
      </c>
      <c r="BD26" s="6">
        <f t="shared" si="23"/>
        <v>-1</v>
      </c>
      <c r="BE26" s="6">
        <f t="shared" si="24"/>
        <v>0</v>
      </c>
      <c r="BF26" s="6">
        <f t="shared" si="25"/>
        <v>0</v>
      </c>
      <c r="BG26" s="6">
        <f t="shared" si="26"/>
        <v>0</v>
      </c>
      <c r="BH26" s="6">
        <f t="shared" si="27"/>
        <v>-1</v>
      </c>
      <c r="BI26" s="6">
        <f t="shared" si="28"/>
        <v>0</v>
      </c>
      <c r="BJ26" s="6">
        <f t="shared" si="29"/>
        <v>0</v>
      </c>
      <c r="BK26" s="6">
        <f t="shared" si="30"/>
        <v>-1</v>
      </c>
      <c r="BL26" s="6">
        <f t="shared" si="31"/>
        <v>0</v>
      </c>
      <c r="BM26" s="6">
        <f t="shared" si="32"/>
        <v>-3</v>
      </c>
    </row>
    <row r="27" spans="1:65" x14ac:dyDescent="0.25">
      <c r="A27" s="3">
        <v>21</v>
      </c>
      <c r="B27" s="8" t="s">
        <v>59</v>
      </c>
      <c r="C27" s="9" t="s">
        <v>48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 t="s">
        <v>299</v>
      </c>
      <c r="X27" s="45" t="s">
        <v>48</v>
      </c>
      <c r="Y27" s="45"/>
      <c r="Z27" s="45" t="s">
        <v>48</v>
      </c>
      <c r="AA27" s="45" t="s">
        <v>48</v>
      </c>
      <c r="AB27" s="105">
        <f t="shared" si="0"/>
        <v>4</v>
      </c>
      <c r="AC27" s="101">
        <f t="shared" si="1"/>
        <v>0</v>
      </c>
      <c r="AD27" s="101">
        <f t="shared" si="2"/>
        <v>0</v>
      </c>
      <c r="AE27" s="101">
        <f t="shared" si="3"/>
        <v>-4</v>
      </c>
      <c r="AF27" s="101">
        <f t="shared" si="4"/>
        <v>0</v>
      </c>
      <c r="AG27" s="102" t="e">
        <f t="shared" si="5"/>
        <v>#DIV/0!</v>
      </c>
      <c r="AK27" s="195">
        <f t="shared" si="6"/>
        <v>4</v>
      </c>
      <c r="AN27" s="6">
        <f t="shared" si="7"/>
        <v>-1</v>
      </c>
      <c r="AO27" s="6">
        <f t="shared" si="8"/>
        <v>0</v>
      </c>
      <c r="AP27" s="6">
        <f t="shared" si="9"/>
        <v>0</v>
      </c>
      <c r="AQ27" s="6">
        <f t="shared" si="10"/>
        <v>0</v>
      </c>
      <c r="AR27" s="6">
        <f t="shared" si="11"/>
        <v>0</v>
      </c>
      <c r="AS27" s="6">
        <f t="shared" si="12"/>
        <v>0</v>
      </c>
      <c r="AT27" s="6">
        <f t="shared" si="13"/>
        <v>0</v>
      </c>
      <c r="AU27" s="6">
        <f t="shared" si="14"/>
        <v>0</v>
      </c>
      <c r="AV27" s="6">
        <f t="shared" si="15"/>
        <v>0</v>
      </c>
      <c r="AW27" s="6">
        <f t="shared" si="16"/>
        <v>0</v>
      </c>
      <c r="AX27" s="6">
        <f t="shared" si="17"/>
        <v>0</v>
      </c>
      <c r="AY27" s="6">
        <f t="shared" si="18"/>
        <v>0</v>
      </c>
      <c r="AZ27" s="6">
        <f t="shared" si="19"/>
        <v>0</v>
      </c>
      <c r="BA27" s="6">
        <f t="shared" si="20"/>
        <v>0</v>
      </c>
      <c r="BB27" s="6">
        <f t="shared" si="21"/>
        <v>0</v>
      </c>
      <c r="BC27" s="6">
        <f t="shared" si="22"/>
        <v>0</v>
      </c>
      <c r="BD27" s="6">
        <f t="shared" si="23"/>
        <v>0</v>
      </c>
      <c r="BE27" s="6">
        <f t="shared" si="24"/>
        <v>0</v>
      </c>
      <c r="BF27" s="6">
        <f t="shared" si="25"/>
        <v>0</v>
      </c>
      <c r="BG27" s="6">
        <f t="shared" si="26"/>
        <v>0</v>
      </c>
      <c r="BH27" s="6">
        <f t="shared" si="27"/>
        <v>0</v>
      </c>
      <c r="BI27" s="6">
        <f t="shared" si="28"/>
        <v>-1</v>
      </c>
      <c r="BJ27" s="6">
        <f t="shared" si="29"/>
        <v>0</v>
      </c>
      <c r="BK27" s="6">
        <f t="shared" si="30"/>
        <v>-1</v>
      </c>
      <c r="BL27" s="6">
        <f t="shared" si="31"/>
        <v>-1</v>
      </c>
      <c r="BM27" s="6">
        <f t="shared" si="32"/>
        <v>-4</v>
      </c>
    </row>
    <row r="28" spans="1:65" x14ac:dyDescent="0.25">
      <c r="A28" s="3">
        <v>22</v>
      </c>
      <c r="B28" s="8" t="s">
        <v>115</v>
      </c>
      <c r="C28" s="9" t="s">
        <v>48</v>
      </c>
      <c r="D28" s="9"/>
      <c r="E28" s="9"/>
      <c r="F28" s="9"/>
      <c r="G28" s="9" t="s">
        <v>48</v>
      </c>
      <c r="H28" s="9"/>
      <c r="I28" s="9"/>
      <c r="J28" s="9"/>
      <c r="K28" s="9"/>
      <c r="L28" s="9"/>
      <c r="M28" s="9"/>
      <c r="N28" s="9"/>
      <c r="O28" s="9" t="s">
        <v>48</v>
      </c>
      <c r="P28" s="9"/>
      <c r="Q28" s="9" t="s">
        <v>48</v>
      </c>
      <c r="R28" s="9"/>
      <c r="S28" s="9"/>
      <c r="T28" s="9"/>
      <c r="U28" s="9"/>
      <c r="V28" s="9"/>
      <c r="W28" s="9"/>
      <c r="X28" s="45"/>
      <c r="Y28" s="45"/>
      <c r="Z28" s="45"/>
      <c r="AA28" s="45"/>
      <c r="AB28" s="105">
        <f t="shared" si="0"/>
        <v>4</v>
      </c>
      <c r="AC28" s="101">
        <f t="shared" si="1"/>
        <v>0</v>
      </c>
      <c r="AD28" s="101">
        <f t="shared" si="2"/>
        <v>0</v>
      </c>
      <c r="AE28" s="101">
        <f t="shared" si="3"/>
        <v>-4</v>
      </c>
      <c r="AF28" s="101">
        <f t="shared" si="4"/>
        <v>0</v>
      </c>
      <c r="AG28" s="102" t="e">
        <f t="shared" si="5"/>
        <v>#DIV/0!</v>
      </c>
      <c r="AK28" s="195">
        <f t="shared" si="6"/>
        <v>4</v>
      </c>
      <c r="AN28" s="6">
        <f t="shared" si="7"/>
        <v>-1</v>
      </c>
      <c r="AO28" s="6">
        <f t="shared" si="8"/>
        <v>0</v>
      </c>
      <c r="AP28" s="6">
        <f t="shared" si="9"/>
        <v>0</v>
      </c>
      <c r="AQ28" s="6">
        <f t="shared" si="10"/>
        <v>0</v>
      </c>
      <c r="AR28" s="6">
        <f t="shared" si="11"/>
        <v>-1</v>
      </c>
      <c r="AS28" s="6">
        <f t="shared" si="12"/>
        <v>0</v>
      </c>
      <c r="AT28" s="6">
        <f t="shared" si="13"/>
        <v>0</v>
      </c>
      <c r="AU28" s="6">
        <f t="shared" si="14"/>
        <v>0</v>
      </c>
      <c r="AV28" s="6">
        <f t="shared" si="15"/>
        <v>0</v>
      </c>
      <c r="AW28" s="6">
        <f t="shared" si="16"/>
        <v>0</v>
      </c>
      <c r="AX28" s="6">
        <f t="shared" si="17"/>
        <v>0</v>
      </c>
      <c r="AY28" s="6">
        <f t="shared" si="18"/>
        <v>0</v>
      </c>
      <c r="AZ28" s="6">
        <f t="shared" si="19"/>
        <v>-1</v>
      </c>
      <c r="BA28" s="6">
        <f t="shared" si="20"/>
        <v>0</v>
      </c>
      <c r="BB28" s="6">
        <f t="shared" si="21"/>
        <v>-1</v>
      </c>
      <c r="BC28" s="6">
        <f t="shared" si="22"/>
        <v>0</v>
      </c>
      <c r="BD28" s="6">
        <f t="shared" si="23"/>
        <v>0</v>
      </c>
      <c r="BE28" s="6">
        <f t="shared" si="24"/>
        <v>0</v>
      </c>
      <c r="BF28" s="6">
        <f t="shared" si="25"/>
        <v>0</v>
      </c>
      <c r="BG28" s="6">
        <f t="shared" si="26"/>
        <v>0</v>
      </c>
      <c r="BH28" s="6">
        <f t="shared" si="27"/>
        <v>0</v>
      </c>
      <c r="BI28" s="6">
        <f t="shared" si="28"/>
        <v>0</v>
      </c>
      <c r="BJ28" s="6">
        <f t="shared" si="29"/>
        <v>0</v>
      </c>
      <c r="BK28" s="6">
        <f t="shared" si="30"/>
        <v>0</v>
      </c>
      <c r="BL28" s="6">
        <f t="shared" si="31"/>
        <v>0</v>
      </c>
      <c r="BM28" s="6">
        <f t="shared" si="32"/>
        <v>-4</v>
      </c>
    </row>
    <row r="29" spans="1:65" x14ac:dyDescent="0.25">
      <c r="A29" s="3">
        <v>23</v>
      </c>
      <c r="B29" s="8" t="s">
        <v>129</v>
      </c>
      <c r="C29" s="9"/>
      <c r="D29" s="9"/>
      <c r="E29" s="9"/>
      <c r="F29" s="9"/>
      <c r="G29" s="9"/>
      <c r="H29" s="9"/>
      <c r="I29" s="9"/>
      <c r="J29" s="9"/>
      <c r="K29" s="9"/>
      <c r="L29" s="9" t="s">
        <v>48</v>
      </c>
      <c r="M29" s="9"/>
      <c r="N29" s="9" t="s">
        <v>48</v>
      </c>
      <c r="O29" s="9"/>
      <c r="P29" s="9"/>
      <c r="Q29" s="9"/>
      <c r="R29" s="9"/>
      <c r="S29" s="9"/>
      <c r="T29" s="9"/>
      <c r="U29" s="9"/>
      <c r="V29" s="9"/>
      <c r="W29" s="9"/>
      <c r="X29" s="45"/>
      <c r="Y29" s="45"/>
      <c r="Z29" s="45"/>
      <c r="AA29" s="45" t="s">
        <v>299</v>
      </c>
      <c r="AB29" s="105">
        <f t="shared" si="0"/>
        <v>2</v>
      </c>
      <c r="AC29" s="101">
        <f t="shared" si="1"/>
        <v>0</v>
      </c>
      <c r="AD29" s="101">
        <f t="shared" si="2"/>
        <v>0</v>
      </c>
      <c r="AE29" s="101">
        <f t="shared" si="3"/>
        <v>-2</v>
      </c>
      <c r="AF29" s="101">
        <f t="shared" si="4"/>
        <v>0</v>
      </c>
      <c r="AG29" s="102" t="e">
        <f t="shared" si="5"/>
        <v>#DIV/0!</v>
      </c>
      <c r="AH29" s="6"/>
      <c r="AI29" s="6"/>
      <c r="AK29" s="195">
        <f t="shared" si="6"/>
        <v>2</v>
      </c>
      <c r="AN29" s="6">
        <f t="shared" si="7"/>
        <v>0</v>
      </c>
      <c r="AO29" s="6">
        <f t="shared" si="8"/>
        <v>0</v>
      </c>
      <c r="AP29" s="6">
        <f t="shared" si="9"/>
        <v>0</v>
      </c>
      <c r="AQ29" s="6">
        <f t="shared" si="10"/>
        <v>0</v>
      </c>
      <c r="AR29" s="6">
        <f t="shared" si="11"/>
        <v>0</v>
      </c>
      <c r="AS29" s="6">
        <f t="shared" si="12"/>
        <v>0</v>
      </c>
      <c r="AT29" s="6">
        <f t="shared" si="13"/>
        <v>0</v>
      </c>
      <c r="AU29" s="6">
        <f t="shared" si="14"/>
        <v>0</v>
      </c>
      <c r="AV29" s="6">
        <f t="shared" si="15"/>
        <v>0</v>
      </c>
      <c r="AW29" s="6">
        <f t="shared" si="16"/>
        <v>-1</v>
      </c>
      <c r="AX29" s="6">
        <f t="shared" si="17"/>
        <v>0</v>
      </c>
      <c r="AY29" s="6">
        <f t="shared" si="18"/>
        <v>-1</v>
      </c>
      <c r="AZ29" s="6">
        <f t="shared" si="19"/>
        <v>0</v>
      </c>
      <c r="BA29" s="6">
        <f t="shared" si="20"/>
        <v>0</v>
      </c>
      <c r="BB29" s="6">
        <f t="shared" si="21"/>
        <v>0</v>
      </c>
      <c r="BC29" s="6">
        <f t="shared" si="22"/>
        <v>0</v>
      </c>
      <c r="BD29" s="6">
        <f t="shared" si="23"/>
        <v>0</v>
      </c>
      <c r="BE29" s="6">
        <f t="shared" si="24"/>
        <v>0</v>
      </c>
      <c r="BF29" s="6">
        <f t="shared" si="25"/>
        <v>0</v>
      </c>
      <c r="BG29" s="6">
        <f t="shared" si="26"/>
        <v>0</v>
      </c>
      <c r="BH29" s="6">
        <f t="shared" si="27"/>
        <v>0</v>
      </c>
      <c r="BI29" s="6">
        <f t="shared" si="28"/>
        <v>0</v>
      </c>
      <c r="BJ29" s="6">
        <f t="shared" si="29"/>
        <v>0</v>
      </c>
      <c r="BK29" s="6">
        <f t="shared" si="30"/>
        <v>0</v>
      </c>
      <c r="BL29" s="6">
        <f t="shared" si="31"/>
        <v>0</v>
      </c>
      <c r="BM29" s="6">
        <f t="shared" si="32"/>
        <v>-2</v>
      </c>
    </row>
    <row r="30" spans="1:65" x14ac:dyDescent="0.25">
      <c r="A30" s="3">
        <v>24</v>
      </c>
      <c r="B30" s="8" t="s">
        <v>54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 t="s">
        <v>299</v>
      </c>
      <c r="X30" s="45"/>
      <c r="Y30" s="45"/>
      <c r="Z30" s="45" t="s">
        <v>299</v>
      </c>
      <c r="AA30" s="45" t="s">
        <v>48</v>
      </c>
      <c r="AB30" s="105">
        <f t="shared" si="0"/>
        <v>1</v>
      </c>
      <c r="AC30" s="101">
        <f t="shared" si="1"/>
        <v>0</v>
      </c>
      <c r="AD30" s="101">
        <f t="shared" si="2"/>
        <v>0</v>
      </c>
      <c r="AE30" s="101">
        <f t="shared" si="3"/>
        <v>-1</v>
      </c>
      <c r="AF30" s="101">
        <f t="shared" si="4"/>
        <v>0</v>
      </c>
      <c r="AG30" s="102" t="e">
        <f t="shared" si="5"/>
        <v>#DIV/0!</v>
      </c>
      <c r="AH30" s="6"/>
      <c r="AI30" s="6"/>
      <c r="AK30" s="195">
        <f t="shared" si="6"/>
        <v>1</v>
      </c>
      <c r="AN30" s="6">
        <f t="shared" si="7"/>
        <v>0</v>
      </c>
      <c r="AO30" s="6">
        <f t="shared" si="8"/>
        <v>0</v>
      </c>
      <c r="AP30" s="6">
        <f t="shared" si="9"/>
        <v>0</v>
      </c>
      <c r="AQ30" s="6">
        <f t="shared" si="10"/>
        <v>0</v>
      </c>
      <c r="AR30" s="6">
        <f t="shared" si="11"/>
        <v>0</v>
      </c>
      <c r="AS30" s="6">
        <f t="shared" si="12"/>
        <v>0</v>
      </c>
      <c r="AT30" s="6">
        <f t="shared" si="13"/>
        <v>0</v>
      </c>
      <c r="AU30" s="6">
        <f t="shared" si="14"/>
        <v>0</v>
      </c>
      <c r="AV30" s="6">
        <f t="shared" si="15"/>
        <v>0</v>
      </c>
      <c r="AW30" s="6">
        <f t="shared" si="16"/>
        <v>0</v>
      </c>
      <c r="AX30" s="6">
        <f t="shared" si="17"/>
        <v>0</v>
      </c>
      <c r="AY30" s="6">
        <f t="shared" si="18"/>
        <v>0</v>
      </c>
      <c r="AZ30" s="6">
        <f t="shared" si="19"/>
        <v>0</v>
      </c>
      <c r="BA30" s="6">
        <f t="shared" si="20"/>
        <v>0</v>
      </c>
      <c r="BB30" s="6">
        <f t="shared" si="21"/>
        <v>0</v>
      </c>
      <c r="BC30" s="6">
        <f t="shared" si="22"/>
        <v>0</v>
      </c>
      <c r="BD30" s="6">
        <f t="shared" si="23"/>
        <v>0</v>
      </c>
      <c r="BE30" s="6">
        <f t="shared" si="24"/>
        <v>0</v>
      </c>
      <c r="BF30" s="6">
        <f t="shared" si="25"/>
        <v>0</v>
      </c>
      <c r="BG30" s="6">
        <f t="shared" si="26"/>
        <v>0</v>
      </c>
      <c r="BH30" s="6">
        <f t="shared" si="27"/>
        <v>0</v>
      </c>
      <c r="BI30" s="6">
        <f t="shared" si="28"/>
        <v>0</v>
      </c>
      <c r="BJ30" s="6">
        <f t="shared" si="29"/>
        <v>0</v>
      </c>
      <c r="BK30" s="6">
        <f t="shared" si="30"/>
        <v>0</v>
      </c>
      <c r="BL30" s="6">
        <f t="shared" si="31"/>
        <v>-1</v>
      </c>
      <c r="BM30" s="6">
        <f t="shared" si="32"/>
        <v>-1</v>
      </c>
    </row>
    <row r="31" spans="1:65" x14ac:dyDescent="0.25">
      <c r="A31" s="3">
        <v>25</v>
      </c>
      <c r="B31" s="8" t="s">
        <v>120</v>
      </c>
      <c r="C31" s="9"/>
      <c r="D31" s="9" t="s">
        <v>299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45"/>
      <c r="Y31" s="45"/>
      <c r="Z31" s="45"/>
      <c r="AA31" s="45"/>
      <c r="AB31" s="105">
        <f t="shared" si="0"/>
        <v>0</v>
      </c>
      <c r="AC31" s="101">
        <f t="shared" si="1"/>
        <v>0</v>
      </c>
      <c r="AD31" s="101">
        <f t="shared" si="2"/>
        <v>0</v>
      </c>
      <c r="AE31" s="101">
        <f t="shared" si="3"/>
        <v>0</v>
      </c>
      <c r="AF31" s="101">
        <f t="shared" si="4"/>
        <v>0</v>
      </c>
      <c r="AG31" s="102" t="e">
        <f t="shared" si="5"/>
        <v>#DIV/0!</v>
      </c>
      <c r="AH31" s="6"/>
      <c r="AI31" s="6"/>
      <c r="AK31" s="195">
        <f t="shared" si="6"/>
        <v>0</v>
      </c>
      <c r="AN31" s="6">
        <f t="shared" si="7"/>
        <v>0</v>
      </c>
      <c r="AO31" s="6">
        <f t="shared" si="8"/>
        <v>0</v>
      </c>
      <c r="AP31" s="6">
        <f t="shared" si="9"/>
        <v>0</v>
      </c>
      <c r="AQ31" s="6">
        <f t="shared" si="10"/>
        <v>0</v>
      </c>
      <c r="AR31" s="6">
        <f t="shared" si="11"/>
        <v>0</v>
      </c>
      <c r="AS31" s="6">
        <f t="shared" si="12"/>
        <v>0</v>
      </c>
      <c r="AT31" s="6">
        <f t="shared" si="13"/>
        <v>0</v>
      </c>
      <c r="AU31" s="6">
        <f t="shared" si="14"/>
        <v>0</v>
      </c>
      <c r="AV31" s="6">
        <f t="shared" si="15"/>
        <v>0</v>
      </c>
      <c r="AW31" s="6">
        <f t="shared" si="16"/>
        <v>0</v>
      </c>
      <c r="AX31" s="6">
        <f t="shared" si="17"/>
        <v>0</v>
      </c>
      <c r="AY31" s="6">
        <f t="shared" si="18"/>
        <v>0</v>
      </c>
      <c r="AZ31" s="6">
        <f t="shared" si="19"/>
        <v>0</v>
      </c>
      <c r="BA31" s="6">
        <f t="shared" si="20"/>
        <v>0</v>
      </c>
      <c r="BB31" s="6">
        <f t="shared" si="21"/>
        <v>0</v>
      </c>
      <c r="BC31" s="6">
        <f t="shared" si="22"/>
        <v>0</v>
      </c>
      <c r="BD31" s="6">
        <f t="shared" si="23"/>
        <v>0</v>
      </c>
      <c r="BE31" s="6">
        <f t="shared" si="24"/>
        <v>0</v>
      </c>
      <c r="BF31" s="6">
        <f t="shared" si="25"/>
        <v>0</v>
      </c>
      <c r="BG31" s="6">
        <f t="shared" si="26"/>
        <v>0</v>
      </c>
      <c r="BH31" s="6">
        <f t="shared" si="27"/>
        <v>0</v>
      </c>
      <c r="BI31" s="6">
        <f t="shared" si="28"/>
        <v>0</v>
      </c>
      <c r="BJ31" s="6">
        <f t="shared" si="29"/>
        <v>0</v>
      </c>
      <c r="BK31" s="6">
        <f t="shared" si="30"/>
        <v>0</v>
      </c>
      <c r="BL31" s="6">
        <f t="shared" si="31"/>
        <v>0</v>
      </c>
      <c r="BM31" s="6">
        <f t="shared" si="32"/>
        <v>0</v>
      </c>
    </row>
    <row r="32" spans="1:65" x14ac:dyDescent="0.25">
      <c r="A32" s="3">
        <v>26</v>
      </c>
      <c r="B32" s="8" t="s">
        <v>125</v>
      </c>
      <c r="C32" s="9"/>
      <c r="D32" s="9" t="s">
        <v>52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45"/>
      <c r="Y32" s="45"/>
      <c r="Z32" s="45"/>
      <c r="AA32" s="45"/>
      <c r="AB32" s="105">
        <f t="shared" si="0"/>
        <v>1</v>
      </c>
      <c r="AC32" s="101">
        <f t="shared" si="1"/>
        <v>0</v>
      </c>
      <c r="AD32" s="101">
        <f t="shared" si="2"/>
        <v>0</v>
      </c>
      <c r="AE32" s="101">
        <f t="shared" si="3"/>
        <v>0</v>
      </c>
      <c r="AF32" s="101">
        <f t="shared" si="4"/>
        <v>1</v>
      </c>
      <c r="AG32" s="102" t="e">
        <f t="shared" si="5"/>
        <v>#DIV/0!</v>
      </c>
      <c r="AH32" s="6"/>
      <c r="AI32" s="6"/>
      <c r="AK32" s="195">
        <f t="shared" si="6"/>
        <v>0</v>
      </c>
      <c r="AN32" s="6">
        <f t="shared" si="7"/>
        <v>0</v>
      </c>
      <c r="AO32" s="6">
        <f t="shared" si="8"/>
        <v>0</v>
      </c>
      <c r="AP32" s="6">
        <f t="shared" si="9"/>
        <v>0</v>
      </c>
      <c r="AQ32" s="6">
        <f t="shared" si="10"/>
        <v>0</v>
      </c>
      <c r="AR32" s="6">
        <f t="shared" si="11"/>
        <v>0</v>
      </c>
      <c r="AS32" s="6">
        <f t="shared" si="12"/>
        <v>0</v>
      </c>
      <c r="AT32" s="6">
        <f t="shared" si="13"/>
        <v>0</v>
      </c>
      <c r="AU32" s="6">
        <f t="shared" si="14"/>
        <v>0</v>
      </c>
      <c r="AV32" s="6">
        <f t="shared" si="15"/>
        <v>0</v>
      </c>
      <c r="AW32" s="6">
        <f t="shared" si="16"/>
        <v>0</v>
      </c>
      <c r="AX32" s="6">
        <f t="shared" si="17"/>
        <v>0</v>
      </c>
      <c r="AY32" s="6">
        <f t="shared" si="18"/>
        <v>0</v>
      </c>
      <c r="AZ32" s="6">
        <f t="shared" si="19"/>
        <v>0</v>
      </c>
      <c r="BA32" s="6">
        <f t="shared" si="20"/>
        <v>0</v>
      </c>
      <c r="BB32" s="6">
        <f t="shared" si="21"/>
        <v>0</v>
      </c>
      <c r="BC32" s="6">
        <f t="shared" si="22"/>
        <v>0</v>
      </c>
      <c r="BD32" s="6">
        <f t="shared" si="23"/>
        <v>0</v>
      </c>
      <c r="BE32" s="6">
        <f t="shared" si="24"/>
        <v>0</v>
      </c>
      <c r="BF32" s="6">
        <f t="shared" si="25"/>
        <v>0</v>
      </c>
      <c r="BG32" s="6">
        <f t="shared" si="26"/>
        <v>0</v>
      </c>
      <c r="BH32" s="6">
        <f t="shared" si="27"/>
        <v>0</v>
      </c>
      <c r="BI32" s="6">
        <f t="shared" si="28"/>
        <v>0</v>
      </c>
      <c r="BJ32" s="6">
        <f t="shared" si="29"/>
        <v>0</v>
      </c>
      <c r="BK32" s="6">
        <f t="shared" si="30"/>
        <v>0</v>
      </c>
      <c r="BL32" s="6">
        <f t="shared" si="31"/>
        <v>0</v>
      </c>
      <c r="BM32" s="6">
        <f t="shared" si="32"/>
        <v>0</v>
      </c>
    </row>
    <row r="33" spans="1:65" x14ac:dyDescent="0.25">
      <c r="A33" s="3">
        <v>27</v>
      </c>
      <c r="B33" s="8" t="s">
        <v>134</v>
      </c>
      <c r="C33" s="9"/>
      <c r="D33" s="9"/>
      <c r="E33" s="9"/>
      <c r="F33" s="9"/>
      <c r="G33" s="9"/>
      <c r="H33" s="9"/>
      <c r="I33" s="9"/>
      <c r="J33" s="9"/>
      <c r="K33" s="9"/>
      <c r="L33" s="9" t="s">
        <v>48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45"/>
      <c r="Y33" s="45"/>
      <c r="Z33" s="45"/>
      <c r="AA33" s="45"/>
      <c r="AB33" s="105">
        <f t="shared" si="0"/>
        <v>1</v>
      </c>
      <c r="AC33" s="101">
        <f t="shared" si="1"/>
        <v>0</v>
      </c>
      <c r="AD33" s="101">
        <f t="shared" si="2"/>
        <v>0</v>
      </c>
      <c r="AE33" s="101">
        <f t="shared" si="3"/>
        <v>-1</v>
      </c>
      <c r="AF33" s="101">
        <f t="shared" si="4"/>
        <v>0</v>
      </c>
      <c r="AG33" s="102" t="e">
        <f t="shared" si="5"/>
        <v>#DIV/0!</v>
      </c>
      <c r="AK33" s="195">
        <f t="shared" si="6"/>
        <v>1</v>
      </c>
      <c r="AN33" s="6">
        <f t="shared" si="7"/>
        <v>0</v>
      </c>
      <c r="AO33" s="6">
        <f t="shared" si="8"/>
        <v>0</v>
      </c>
      <c r="AP33" s="6">
        <f t="shared" si="9"/>
        <v>0</v>
      </c>
      <c r="AQ33" s="6">
        <f t="shared" si="10"/>
        <v>0</v>
      </c>
      <c r="AR33" s="6">
        <f t="shared" si="11"/>
        <v>0</v>
      </c>
      <c r="AS33" s="6">
        <f t="shared" si="12"/>
        <v>0</v>
      </c>
      <c r="AT33" s="6">
        <f t="shared" si="13"/>
        <v>0</v>
      </c>
      <c r="AU33" s="6">
        <f t="shared" si="14"/>
        <v>0</v>
      </c>
      <c r="AV33" s="6">
        <f t="shared" si="15"/>
        <v>0</v>
      </c>
      <c r="AW33" s="6">
        <f t="shared" si="16"/>
        <v>-1</v>
      </c>
      <c r="AX33" s="6">
        <f t="shared" si="17"/>
        <v>0</v>
      </c>
      <c r="AY33" s="6">
        <f t="shared" si="18"/>
        <v>0</v>
      </c>
      <c r="AZ33" s="6">
        <f t="shared" si="19"/>
        <v>0</v>
      </c>
      <c r="BA33" s="6">
        <f t="shared" si="20"/>
        <v>0</v>
      </c>
      <c r="BB33" s="6">
        <f t="shared" si="21"/>
        <v>0</v>
      </c>
      <c r="BC33" s="6">
        <f t="shared" si="22"/>
        <v>0</v>
      </c>
      <c r="BD33" s="6">
        <f t="shared" si="23"/>
        <v>0</v>
      </c>
      <c r="BE33" s="6">
        <f t="shared" si="24"/>
        <v>0</v>
      </c>
      <c r="BF33" s="6">
        <f t="shared" si="25"/>
        <v>0</v>
      </c>
      <c r="BG33" s="6">
        <f t="shared" si="26"/>
        <v>0</v>
      </c>
      <c r="BH33" s="6">
        <f t="shared" si="27"/>
        <v>0</v>
      </c>
      <c r="BI33" s="6">
        <f t="shared" si="28"/>
        <v>0</v>
      </c>
      <c r="BJ33" s="6">
        <f t="shared" si="29"/>
        <v>0</v>
      </c>
      <c r="BK33" s="6">
        <f t="shared" si="30"/>
        <v>0</v>
      </c>
      <c r="BL33" s="6">
        <f t="shared" si="31"/>
        <v>0</v>
      </c>
      <c r="BM33" s="6">
        <f t="shared" si="32"/>
        <v>-1</v>
      </c>
    </row>
    <row r="34" spans="1:65" x14ac:dyDescent="0.25">
      <c r="A34" s="3">
        <v>28</v>
      </c>
      <c r="B34" s="8" t="s">
        <v>133</v>
      </c>
      <c r="C34" s="9"/>
      <c r="D34" s="9"/>
      <c r="E34" s="9"/>
      <c r="F34" s="9"/>
      <c r="G34" s="9"/>
      <c r="H34" s="9"/>
      <c r="I34" s="9"/>
      <c r="J34" s="9"/>
      <c r="K34" s="9"/>
      <c r="L34" s="9" t="s">
        <v>48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45"/>
      <c r="Y34" s="45"/>
      <c r="Z34" s="45"/>
      <c r="AA34" s="45"/>
      <c r="AB34" s="105">
        <f t="shared" si="0"/>
        <v>1</v>
      </c>
      <c r="AC34" s="101">
        <f t="shared" si="1"/>
        <v>0</v>
      </c>
      <c r="AD34" s="101">
        <f t="shared" si="2"/>
        <v>0</v>
      </c>
      <c r="AE34" s="101">
        <f t="shared" si="3"/>
        <v>-1</v>
      </c>
      <c r="AF34" s="101">
        <f t="shared" si="4"/>
        <v>0</v>
      </c>
      <c r="AG34" s="102" t="e">
        <f t="shared" si="5"/>
        <v>#DIV/0!</v>
      </c>
      <c r="AH34" s="6"/>
      <c r="AI34" s="6"/>
      <c r="AK34" s="195">
        <f t="shared" si="6"/>
        <v>1</v>
      </c>
      <c r="AN34" s="6">
        <f t="shared" si="7"/>
        <v>0</v>
      </c>
      <c r="AO34" s="6">
        <f t="shared" si="8"/>
        <v>0</v>
      </c>
      <c r="AP34" s="6">
        <f t="shared" si="9"/>
        <v>0</v>
      </c>
      <c r="AQ34" s="6">
        <f t="shared" si="10"/>
        <v>0</v>
      </c>
      <c r="AR34" s="6">
        <f t="shared" si="11"/>
        <v>0</v>
      </c>
      <c r="AS34" s="6">
        <f t="shared" si="12"/>
        <v>0</v>
      </c>
      <c r="AT34" s="6">
        <f t="shared" si="13"/>
        <v>0</v>
      </c>
      <c r="AU34" s="6">
        <f t="shared" si="14"/>
        <v>0</v>
      </c>
      <c r="AV34" s="6">
        <f t="shared" si="15"/>
        <v>0</v>
      </c>
      <c r="AW34" s="6">
        <f t="shared" si="16"/>
        <v>-1</v>
      </c>
      <c r="AX34" s="6">
        <f t="shared" si="17"/>
        <v>0</v>
      </c>
      <c r="AY34" s="6">
        <f t="shared" si="18"/>
        <v>0</v>
      </c>
      <c r="AZ34" s="6">
        <f t="shared" si="19"/>
        <v>0</v>
      </c>
      <c r="BA34" s="6">
        <f t="shared" si="20"/>
        <v>0</v>
      </c>
      <c r="BB34" s="6">
        <f t="shared" si="21"/>
        <v>0</v>
      </c>
      <c r="BC34" s="6">
        <f t="shared" si="22"/>
        <v>0</v>
      </c>
      <c r="BD34" s="6">
        <f t="shared" si="23"/>
        <v>0</v>
      </c>
      <c r="BE34" s="6">
        <f t="shared" si="24"/>
        <v>0</v>
      </c>
      <c r="BF34" s="6">
        <f t="shared" si="25"/>
        <v>0</v>
      </c>
      <c r="BG34" s="6">
        <f t="shared" si="26"/>
        <v>0</v>
      </c>
      <c r="BH34" s="6">
        <f t="shared" si="27"/>
        <v>0</v>
      </c>
      <c r="BI34" s="6">
        <f t="shared" si="28"/>
        <v>0</v>
      </c>
      <c r="BJ34" s="6">
        <f t="shared" si="29"/>
        <v>0</v>
      </c>
      <c r="BK34" s="6">
        <f t="shared" si="30"/>
        <v>0</v>
      </c>
      <c r="BL34" s="6">
        <f t="shared" si="31"/>
        <v>0</v>
      </c>
      <c r="BM34" s="6">
        <f t="shared" si="32"/>
        <v>-1</v>
      </c>
    </row>
    <row r="35" spans="1:65" x14ac:dyDescent="0.25">
      <c r="A35" s="3">
        <v>29</v>
      </c>
      <c r="B35" s="8" t="s">
        <v>136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45"/>
      <c r="Y35" s="45"/>
      <c r="Z35" s="45"/>
      <c r="AA35" s="45"/>
      <c r="AB35" s="105">
        <f t="shared" si="0"/>
        <v>0</v>
      </c>
      <c r="AC35" s="101">
        <f t="shared" si="1"/>
        <v>0</v>
      </c>
      <c r="AD35" s="101">
        <f t="shared" si="2"/>
        <v>0</v>
      </c>
      <c r="AE35" s="101">
        <f t="shared" si="3"/>
        <v>0</v>
      </c>
      <c r="AF35" s="101">
        <f t="shared" si="4"/>
        <v>0</v>
      </c>
      <c r="AG35" s="102" t="e">
        <f t="shared" si="5"/>
        <v>#DIV/0!</v>
      </c>
      <c r="AH35" s="6"/>
      <c r="AI35" s="6"/>
      <c r="AK35" s="195">
        <f t="shared" si="6"/>
        <v>0</v>
      </c>
      <c r="AN35" s="6">
        <f t="shared" si="7"/>
        <v>0</v>
      </c>
      <c r="AO35" s="6">
        <f t="shared" si="8"/>
        <v>0</v>
      </c>
      <c r="AP35" s="6">
        <f t="shared" si="9"/>
        <v>0</v>
      </c>
      <c r="AQ35" s="6">
        <f t="shared" si="10"/>
        <v>0</v>
      </c>
      <c r="AR35" s="6">
        <f t="shared" si="11"/>
        <v>0</v>
      </c>
      <c r="AS35" s="6">
        <f t="shared" si="12"/>
        <v>0</v>
      </c>
      <c r="AT35" s="6">
        <f t="shared" si="13"/>
        <v>0</v>
      </c>
      <c r="AU35" s="6">
        <f t="shared" si="14"/>
        <v>0</v>
      </c>
      <c r="AV35" s="6">
        <f t="shared" si="15"/>
        <v>0</v>
      </c>
      <c r="AW35" s="6">
        <f t="shared" si="16"/>
        <v>0</v>
      </c>
      <c r="AX35" s="6">
        <f t="shared" si="17"/>
        <v>0</v>
      </c>
      <c r="AY35" s="6">
        <f t="shared" si="18"/>
        <v>0</v>
      </c>
      <c r="AZ35" s="6">
        <f t="shared" si="19"/>
        <v>0</v>
      </c>
      <c r="BA35" s="6">
        <f t="shared" si="20"/>
        <v>0</v>
      </c>
      <c r="BB35" s="6">
        <f t="shared" si="21"/>
        <v>0</v>
      </c>
      <c r="BC35" s="6">
        <f t="shared" si="22"/>
        <v>0</v>
      </c>
      <c r="BD35" s="6">
        <f t="shared" si="23"/>
        <v>0</v>
      </c>
      <c r="BE35" s="6">
        <f t="shared" si="24"/>
        <v>0</v>
      </c>
      <c r="BF35" s="6">
        <f t="shared" si="25"/>
        <v>0</v>
      </c>
      <c r="BG35" s="6">
        <f t="shared" si="26"/>
        <v>0</v>
      </c>
      <c r="BH35" s="6">
        <f t="shared" si="27"/>
        <v>0</v>
      </c>
      <c r="BI35" s="6">
        <f t="shared" si="28"/>
        <v>0</v>
      </c>
      <c r="BJ35" s="6">
        <f t="shared" si="29"/>
        <v>0</v>
      </c>
      <c r="BK35" s="6">
        <f t="shared" si="30"/>
        <v>0</v>
      </c>
      <c r="BL35" s="6">
        <f t="shared" si="31"/>
        <v>0</v>
      </c>
      <c r="BM35" s="6">
        <f t="shared" si="32"/>
        <v>0</v>
      </c>
    </row>
    <row r="36" spans="1:65" x14ac:dyDescent="0.25">
      <c r="A36" s="3">
        <v>30</v>
      </c>
      <c r="B36" s="8" t="s">
        <v>130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45"/>
      <c r="Y36" s="45"/>
      <c r="Z36" s="45"/>
      <c r="AA36" s="45"/>
      <c r="AB36" s="105">
        <f t="shared" si="0"/>
        <v>0</v>
      </c>
      <c r="AC36" s="101">
        <f t="shared" si="1"/>
        <v>0</v>
      </c>
      <c r="AD36" s="101">
        <f t="shared" si="2"/>
        <v>0</v>
      </c>
      <c r="AE36" s="101">
        <f t="shared" si="3"/>
        <v>0</v>
      </c>
      <c r="AF36" s="101">
        <f t="shared" si="4"/>
        <v>0</v>
      </c>
      <c r="AG36" s="102" t="e">
        <f t="shared" si="5"/>
        <v>#DIV/0!</v>
      </c>
      <c r="AH36" s="6"/>
      <c r="AI36" s="6"/>
      <c r="AK36" s="195">
        <f t="shared" si="6"/>
        <v>0</v>
      </c>
      <c r="AN36" s="6">
        <f t="shared" si="7"/>
        <v>0</v>
      </c>
      <c r="AO36" s="6">
        <f t="shared" si="8"/>
        <v>0</v>
      </c>
      <c r="AP36" s="6">
        <f t="shared" si="9"/>
        <v>0</v>
      </c>
      <c r="AQ36" s="6">
        <f t="shared" si="10"/>
        <v>0</v>
      </c>
      <c r="AR36" s="6">
        <f t="shared" si="11"/>
        <v>0</v>
      </c>
      <c r="AS36" s="6">
        <f t="shared" si="12"/>
        <v>0</v>
      </c>
      <c r="AT36" s="6">
        <f t="shared" si="13"/>
        <v>0</v>
      </c>
      <c r="AU36" s="6">
        <f t="shared" si="14"/>
        <v>0</v>
      </c>
      <c r="AV36" s="6">
        <f t="shared" si="15"/>
        <v>0</v>
      </c>
      <c r="AW36" s="6">
        <f t="shared" si="16"/>
        <v>0</v>
      </c>
      <c r="AX36" s="6">
        <f t="shared" si="17"/>
        <v>0</v>
      </c>
      <c r="AY36" s="6">
        <f t="shared" si="18"/>
        <v>0</v>
      </c>
      <c r="AZ36" s="6">
        <f t="shared" si="19"/>
        <v>0</v>
      </c>
      <c r="BA36" s="6">
        <f t="shared" si="20"/>
        <v>0</v>
      </c>
      <c r="BB36" s="6">
        <f t="shared" si="21"/>
        <v>0</v>
      </c>
      <c r="BC36" s="6">
        <f t="shared" si="22"/>
        <v>0</v>
      </c>
      <c r="BD36" s="6">
        <f t="shared" si="23"/>
        <v>0</v>
      </c>
      <c r="BE36" s="6">
        <f t="shared" si="24"/>
        <v>0</v>
      </c>
      <c r="BF36" s="6">
        <f t="shared" si="25"/>
        <v>0</v>
      </c>
      <c r="BG36" s="6">
        <f t="shared" si="26"/>
        <v>0</v>
      </c>
      <c r="BH36" s="6">
        <f t="shared" si="27"/>
        <v>0</v>
      </c>
      <c r="BI36" s="6">
        <f t="shared" si="28"/>
        <v>0</v>
      </c>
      <c r="BJ36" s="6">
        <f t="shared" si="29"/>
        <v>0</v>
      </c>
      <c r="BK36" s="6">
        <f t="shared" si="30"/>
        <v>0</v>
      </c>
      <c r="BL36" s="6">
        <f t="shared" si="31"/>
        <v>0</v>
      </c>
      <c r="BM36" s="6">
        <f t="shared" si="32"/>
        <v>0</v>
      </c>
    </row>
    <row r="37" spans="1:65" x14ac:dyDescent="0.25">
      <c r="A37" s="3"/>
      <c r="B37" s="7"/>
      <c r="C37" s="82">
        <f t="shared" ref="C37:U37" si="33">SUM(COUNTIF(C7:C36,"h"),COUNTIF(C7:C36,"w"),COUNTIF(C7:C36,"k"))</f>
        <v>10</v>
      </c>
      <c r="D37" s="82">
        <f t="shared" si="33"/>
        <v>10</v>
      </c>
      <c r="E37" s="82">
        <f t="shared" si="33"/>
        <v>10</v>
      </c>
      <c r="F37" s="82">
        <f t="shared" si="33"/>
        <v>9</v>
      </c>
      <c r="G37" s="82">
        <f t="shared" si="33"/>
        <v>9</v>
      </c>
      <c r="H37" s="82">
        <f t="shared" si="33"/>
        <v>9</v>
      </c>
      <c r="I37" s="82">
        <f t="shared" si="33"/>
        <v>8</v>
      </c>
      <c r="J37" s="82">
        <f t="shared" si="33"/>
        <v>11</v>
      </c>
      <c r="K37" s="82">
        <f t="shared" si="33"/>
        <v>10</v>
      </c>
      <c r="L37" s="82">
        <f t="shared" si="33"/>
        <v>10</v>
      </c>
      <c r="M37" s="82">
        <f t="shared" si="33"/>
        <v>10</v>
      </c>
      <c r="N37" s="82">
        <f t="shared" si="33"/>
        <v>10</v>
      </c>
      <c r="O37" s="82">
        <f>SUM(COUNTIF(O7:O36,"h"),COUNTIF(O7:O36,"w"),COUNTIF(O7:O36,"k"))</f>
        <v>8</v>
      </c>
      <c r="P37" s="82">
        <f t="shared" si="33"/>
        <v>10</v>
      </c>
      <c r="Q37" s="82">
        <f t="shared" si="33"/>
        <v>10</v>
      </c>
      <c r="R37" s="82">
        <f t="shared" si="33"/>
        <v>10</v>
      </c>
      <c r="S37" s="82">
        <f t="shared" si="33"/>
        <v>9</v>
      </c>
      <c r="T37" s="82">
        <f t="shared" si="33"/>
        <v>0</v>
      </c>
      <c r="U37" s="82">
        <f t="shared" si="33"/>
        <v>0</v>
      </c>
      <c r="V37" s="82">
        <f t="shared" ref="V37:AA37" si="34">SUM(COUNTIF(V7:V36,"h"),COUNTIF(V7:V36,"w"),COUNTIF(V7:V36,"k"))</f>
        <v>0</v>
      </c>
      <c r="W37" s="82">
        <f t="shared" si="34"/>
        <v>7</v>
      </c>
      <c r="X37" s="43">
        <f t="shared" si="34"/>
        <v>9</v>
      </c>
      <c r="Y37" s="82">
        <f t="shared" si="34"/>
        <v>0</v>
      </c>
      <c r="Z37" s="43">
        <f t="shared" si="34"/>
        <v>7</v>
      </c>
      <c r="AA37" s="82">
        <f t="shared" si="34"/>
        <v>9</v>
      </c>
      <c r="AB37" s="105">
        <f t="shared" ref="AB37" si="35">SUM(COUNTIF(C37:AA37,"h"),COUNTIF(C37:AA37,"w"),COUNTIF(C37:AA37,"k"),COUNTIF(C37:AA37,"t"))</f>
        <v>0</v>
      </c>
      <c r="AC37" s="101">
        <f t="shared" ref="AC37" si="36">COUNTIF(C37:AA37,"w")</f>
        <v>0</v>
      </c>
      <c r="AD37" s="142"/>
      <c r="AF37" s="133"/>
      <c r="AG37" s="90"/>
      <c r="AH37" s="6"/>
      <c r="AI37" s="6"/>
    </row>
    <row r="38" spans="1:65" x14ac:dyDescent="0.25">
      <c r="A38" s="7"/>
      <c r="AC38" s="143"/>
      <c r="AD38" s="143"/>
      <c r="AF38" s="133"/>
      <c r="AG38" s="91"/>
      <c r="AH38" s="6"/>
      <c r="AI38" s="6"/>
      <c r="AJ38" s="65" t="s">
        <v>84</v>
      </c>
      <c r="AK38" s="195">
        <f>SUM(AK7:AK36)</f>
        <v>195</v>
      </c>
    </row>
    <row r="39" spans="1:65" x14ac:dyDescent="0.25">
      <c r="A39" s="7"/>
      <c r="B39" s="7" t="s">
        <v>83</v>
      </c>
      <c r="C39" s="134" t="str">
        <f t="shared" ref="C39:AA39" si="37">IF(C37&gt;10,"ja","nee")</f>
        <v>nee</v>
      </c>
      <c r="D39" s="134" t="str">
        <f t="shared" si="37"/>
        <v>nee</v>
      </c>
      <c r="E39" s="134" t="str">
        <f t="shared" si="37"/>
        <v>nee</v>
      </c>
      <c r="F39" s="134" t="str">
        <f t="shared" si="37"/>
        <v>nee</v>
      </c>
      <c r="G39" s="134" t="str">
        <f t="shared" si="37"/>
        <v>nee</v>
      </c>
      <c r="H39" s="134" t="str">
        <f t="shared" si="37"/>
        <v>nee</v>
      </c>
      <c r="I39" s="134" t="str">
        <f t="shared" si="37"/>
        <v>nee</v>
      </c>
      <c r="J39" s="134" t="str">
        <f t="shared" si="37"/>
        <v>ja</v>
      </c>
      <c r="K39" s="134" t="str">
        <f t="shared" si="37"/>
        <v>nee</v>
      </c>
      <c r="L39" s="134" t="str">
        <f t="shared" si="37"/>
        <v>nee</v>
      </c>
      <c r="M39" s="134" t="str">
        <f t="shared" si="37"/>
        <v>nee</v>
      </c>
      <c r="N39" s="134" t="str">
        <f t="shared" si="37"/>
        <v>nee</v>
      </c>
      <c r="O39" s="134" t="str">
        <f>IF(O37&gt;10,"ja","nee")</f>
        <v>nee</v>
      </c>
      <c r="P39" s="134" t="str">
        <f t="shared" si="37"/>
        <v>nee</v>
      </c>
      <c r="Q39" s="134" t="str">
        <f t="shared" si="37"/>
        <v>nee</v>
      </c>
      <c r="R39" s="134" t="str">
        <f t="shared" si="37"/>
        <v>nee</v>
      </c>
      <c r="S39" s="134" t="str">
        <f t="shared" si="37"/>
        <v>nee</v>
      </c>
      <c r="T39" s="134" t="str">
        <f t="shared" si="37"/>
        <v>nee</v>
      </c>
      <c r="U39" s="134" t="str">
        <f t="shared" si="37"/>
        <v>nee</v>
      </c>
      <c r="V39" s="134" t="str">
        <f t="shared" si="37"/>
        <v>nee</v>
      </c>
      <c r="W39" s="134" t="str">
        <f t="shared" si="37"/>
        <v>nee</v>
      </c>
      <c r="X39" s="134" t="str">
        <f t="shared" si="37"/>
        <v>nee</v>
      </c>
      <c r="Y39" s="134" t="str">
        <f t="shared" si="37"/>
        <v>nee</v>
      </c>
      <c r="Z39" s="134" t="str">
        <f t="shared" si="37"/>
        <v>nee</v>
      </c>
      <c r="AA39" s="134" t="str">
        <f t="shared" si="37"/>
        <v>nee</v>
      </c>
      <c r="AB39" s="105">
        <f>SUM(AB7:AB36)</f>
        <v>229</v>
      </c>
      <c r="AC39" s="6"/>
      <c r="AD39" s="6"/>
      <c r="AF39" s="133"/>
      <c r="AG39" s="6"/>
      <c r="AH39" s="6"/>
      <c r="AI39" s="6"/>
      <c r="AJ39" s="6"/>
    </row>
    <row r="40" spans="1:65" x14ac:dyDescent="0.25">
      <c r="A40" s="7"/>
      <c r="B40" s="7"/>
      <c r="C40" s="7"/>
      <c r="D40" s="7"/>
      <c r="E40" s="19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65" x14ac:dyDescent="0.25">
      <c r="A41" s="7"/>
      <c r="C41" s="7"/>
      <c r="D41" s="7"/>
      <c r="E41" s="93" t="s">
        <v>85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6"/>
      <c r="T41" s="6"/>
      <c r="U41" s="6"/>
      <c r="V41" s="6"/>
      <c r="W41" s="6"/>
      <c r="X41" s="6"/>
      <c r="Y41" s="6"/>
      <c r="Z41" s="6"/>
      <c r="AA41" s="6"/>
      <c r="AB41" s="200"/>
    </row>
    <row r="42" spans="1:65" x14ac:dyDescent="0.25">
      <c r="A42" s="7"/>
      <c r="B42" s="19"/>
      <c r="C42" s="7"/>
      <c r="D42" s="7"/>
      <c r="E42" s="94" t="s">
        <v>86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65" x14ac:dyDescent="0.25">
      <c r="A43" s="7"/>
      <c r="B43" s="172" t="s">
        <v>87</v>
      </c>
      <c r="C43" s="20">
        <v>7</v>
      </c>
      <c r="D43" s="7"/>
      <c r="F43" s="6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65" x14ac:dyDescent="0.25">
      <c r="A44" s="7"/>
      <c r="B44" s="22" t="s">
        <v>88</v>
      </c>
      <c r="C44" s="20">
        <v>9</v>
      </c>
      <c r="D44" s="7"/>
      <c r="E44" s="51" t="s">
        <v>89</v>
      </c>
      <c r="F44" s="141" t="s">
        <v>48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65" x14ac:dyDescent="0.25">
      <c r="A45" s="7"/>
      <c r="B45" s="15" t="s">
        <v>90</v>
      </c>
      <c r="C45" s="23">
        <v>5</v>
      </c>
      <c r="D45" s="7"/>
      <c r="E45" s="140" t="s">
        <v>30</v>
      </c>
      <c r="F45" s="139" t="s">
        <v>74</v>
      </c>
      <c r="H45" s="7" t="s">
        <v>261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65" x14ac:dyDescent="0.25">
      <c r="A46" s="7"/>
      <c r="B46" s="7"/>
      <c r="C46" s="24">
        <f>SUM(C43:C45)</f>
        <v>21</v>
      </c>
      <c r="D46" s="7"/>
      <c r="E46" s="96" t="s">
        <v>92</v>
      </c>
      <c r="F46" s="138" t="s">
        <v>50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65" x14ac:dyDescent="0.25">
      <c r="A47" s="7"/>
      <c r="B47" s="7"/>
      <c r="C47" s="7"/>
      <c r="D47" s="7"/>
      <c r="E47" s="97" t="s">
        <v>93</v>
      </c>
      <c r="F47" s="12">
        <v>1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65" x14ac:dyDescent="0.25">
      <c r="A48" s="7"/>
      <c r="B48" s="7"/>
      <c r="C48" s="7"/>
      <c r="D48" s="7"/>
      <c r="E48" s="137" t="s">
        <v>32</v>
      </c>
      <c r="F48" s="136" t="s">
        <v>52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5:8" x14ac:dyDescent="0.25">
      <c r="E49" s="99" t="s">
        <v>94</v>
      </c>
      <c r="F49" s="135">
        <v>1</v>
      </c>
      <c r="H49" s="1" t="s">
        <v>262</v>
      </c>
    </row>
    <row r="50" spans="5:8" x14ac:dyDescent="0.25">
      <c r="E50" s="65"/>
      <c r="F50" s="3"/>
    </row>
    <row r="51" spans="5:8" x14ac:dyDescent="0.25">
      <c r="E51" s="129" t="s">
        <v>87</v>
      </c>
      <c r="F51" s="6"/>
    </row>
    <row r="52" spans="5:8" x14ac:dyDescent="0.25">
      <c r="E52" s="130" t="s">
        <v>88</v>
      </c>
      <c r="F52" s="6"/>
    </row>
    <row r="53" spans="5:8" x14ac:dyDescent="0.25">
      <c r="E53" s="131" t="s">
        <v>95</v>
      </c>
      <c r="F53" s="6"/>
    </row>
    <row r="54" spans="5:8" x14ac:dyDescent="0.25">
      <c r="E54" s="132" t="s">
        <v>91</v>
      </c>
      <c r="F54" s="6"/>
    </row>
  </sheetData>
  <sortState xmlns:xlrd2="http://schemas.microsoft.com/office/spreadsheetml/2017/richdata2" ref="B7:BM36">
    <sortCondition descending="1" ref="AB7:AB36"/>
  </sortState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9EF20-2323-40A6-96B9-A6E03869CE00}">
  <dimension ref="A1:BM53"/>
  <sheetViews>
    <sheetView topLeftCell="B1" zoomScale="70" zoomScaleNormal="70" workbookViewId="0">
      <selection activeCell="C7" sqref="C7:AA33"/>
    </sheetView>
  </sheetViews>
  <sheetFormatPr defaultRowHeight="13.2" x14ac:dyDescent="0.25"/>
  <cols>
    <col min="2" max="2" width="22.6640625" customWidth="1"/>
    <col min="3" max="20" width="8.88671875" customWidth="1"/>
    <col min="21" max="21" width="9.109375" customWidth="1"/>
    <col min="22" max="27" width="8.88671875" customWidth="1"/>
    <col min="29" max="32" width="9.109375" customWidth="1"/>
    <col min="33" max="33" width="6.88671875" customWidth="1"/>
  </cols>
  <sheetData>
    <row r="1" spans="1:65" x14ac:dyDescent="0.25">
      <c r="C1" t="s">
        <v>296</v>
      </c>
      <c r="D1" t="s">
        <v>296</v>
      </c>
      <c r="E1" t="s">
        <v>296</v>
      </c>
      <c r="F1" t="s">
        <v>297</v>
      </c>
      <c r="G1" t="s">
        <v>297</v>
      </c>
      <c r="H1" t="s">
        <v>296</v>
      </c>
      <c r="I1" t="s">
        <v>50</v>
      </c>
      <c r="J1" t="s">
        <v>296</v>
      </c>
      <c r="K1" t="s">
        <v>297</v>
      </c>
      <c r="L1" t="s">
        <v>297</v>
      </c>
      <c r="M1" t="s">
        <v>297</v>
      </c>
      <c r="N1" t="s">
        <v>50</v>
      </c>
      <c r="O1" t="s">
        <v>50</v>
      </c>
      <c r="P1" t="s">
        <v>296</v>
      </c>
      <c r="Q1" t="s">
        <v>296</v>
      </c>
      <c r="R1" t="s">
        <v>50</v>
      </c>
      <c r="S1" t="s">
        <v>298</v>
      </c>
      <c r="T1" t="s">
        <v>296</v>
      </c>
      <c r="U1" t="s">
        <v>50</v>
      </c>
      <c r="V1" t="s">
        <v>296</v>
      </c>
      <c r="W1" t="s">
        <v>50</v>
      </c>
      <c r="X1" t="s">
        <v>50</v>
      </c>
      <c r="Y1" t="s">
        <v>296</v>
      </c>
      <c r="Z1" t="s">
        <v>50</v>
      </c>
      <c r="AA1" t="s">
        <v>298</v>
      </c>
    </row>
    <row r="2" spans="1:65" x14ac:dyDescent="0.25">
      <c r="C2" t="s">
        <v>52</v>
      </c>
      <c r="D2" t="s">
        <v>295</v>
      </c>
      <c r="E2" t="s">
        <v>52</v>
      </c>
      <c r="F2" t="s">
        <v>52</v>
      </c>
      <c r="G2" t="s">
        <v>295</v>
      </c>
      <c r="H2" t="s">
        <v>52</v>
      </c>
      <c r="I2" t="s">
        <v>295</v>
      </c>
      <c r="J2" t="s">
        <v>295</v>
      </c>
      <c r="K2" t="s">
        <v>52</v>
      </c>
      <c r="L2" t="s">
        <v>295</v>
      </c>
      <c r="M2" t="s">
        <v>52</v>
      </c>
      <c r="N2" t="s">
        <v>295</v>
      </c>
      <c r="O2" t="s">
        <v>52</v>
      </c>
      <c r="P2" t="s">
        <v>295</v>
      </c>
      <c r="Q2" t="s">
        <v>295</v>
      </c>
      <c r="R2" t="s">
        <v>52</v>
      </c>
      <c r="S2" t="s">
        <v>52</v>
      </c>
      <c r="T2" t="s">
        <v>295</v>
      </c>
      <c r="U2" t="s">
        <v>52</v>
      </c>
      <c r="V2" t="s">
        <v>295</v>
      </c>
      <c r="W2" t="s">
        <v>52</v>
      </c>
      <c r="X2" t="s">
        <v>295</v>
      </c>
      <c r="Y2" t="s">
        <v>295</v>
      </c>
      <c r="Z2" t="s">
        <v>295</v>
      </c>
      <c r="AA2" t="s">
        <v>295</v>
      </c>
    </row>
    <row r="3" spans="1:65" ht="50.4" customHeight="1" x14ac:dyDescent="0.25">
      <c r="A3" s="3"/>
      <c r="B3" s="4"/>
      <c r="C3" s="58" t="s">
        <v>241</v>
      </c>
      <c r="D3" s="58" t="s">
        <v>0</v>
      </c>
      <c r="E3" s="58" t="s">
        <v>241</v>
      </c>
      <c r="F3" s="73" t="s">
        <v>242</v>
      </c>
      <c r="G3" s="73" t="s">
        <v>197</v>
      </c>
      <c r="H3" s="58" t="s">
        <v>196</v>
      </c>
      <c r="I3" s="62" t="s">
        <v>12</v>
      </c>
      <c r="J3" s="58" t="s">
        <v>152</v>
      </c>
      <c r="K3" s="73" t="s">
        <v>242</v>
      </c>
      <c r="L3" s="73" t="s">
        <v>1</v>
      </c>
      <c r="M3" s="73" t="s">
        <v>1</v>
      </c>
      <c r="N3" s="62" t="s">
        <v>241</v>
      </c>
      <c r="O3" s="62" t="s">
        <v>9</v>
      </c>
      <c r="P3" s="58" t="s">
        <v>10</v>
      </c>
      <c r="Q3" s="58" t="s">
        <v>196</v>
      </c>
      <c r="R3" s="154" t="s">
        <v>263</v>
      </c>
      <c r="S3" s="63" t="s">
        <v>11</v>
      </c>
      <c r="T3" s="58" t="s">
        <v>5</v>
      </c>
      <c r="U3" s="62" t="s">
        <v>5</v>
      </c>
      <c r="V3" s="58" t="s">
        <v>5</v>
      </c>
      <c r="W3" s="62" t="s">
        <v>5</v>
      </c>
      <c r="X3" s="62" t="s">
        <v>264</v>
      </c>
      <c r="Y3" s="58" t="s">
        <v>5</v>
      </c>
      <c r="Z3" s="62" t="s">
        <v>265</v>
      </c>
      <c r="AA3" s="63" t="s">
        <v>13</v>
      </c>
      <c r="AB3" s="5"/>
      <c r="AC3" s="6"/>
      <c r="AD3" s="6"/>
      <c r="AE3" s="6"/>
      <c r="AF3" s="6"/>
      <c r="AG3" s="6"/>
      <c r="AH3" s="6"/>
      <c r="AI3" s="6"/>
      <c r="AJ3" s="6"/>
    </row>
    <row r="4" spans="1:65" ht="94.8" x14ac:dyDescent="0.25">
      <c r="A4" s="3"/>
      <c r="B4" s="7"/>
      <c r="C4" s="80" t="s">
        <v>266</v>
      </c>
      <c r="D4" s="79" t="s">
        <v>267</v>
      </c>
      <c r="E4" s="80" t="s">
        <v>249</v>
      </c>
      <c r="F4" s="80" t="s">
        <v>268</v>
      </c>
      <c r="G4" s="79" t="s">
        <v>252</v>
      </c>
      <c r="H4" s="80" t="s">
        <v>246</v>
      </c>
      <c r="I4" s="79" t="s">
        <v>269</v>
      </c>
      <c r="J4" s="79" t="s">
        <v>258</v>
      </c>
      <c r="K4" s="80" t="s">
        <v>256</v>
      </c>
      <c r="L4" s="79" t="s">
        <v>253</v>
      </c>
      <c r="M4" s="80" t="s">
        <v>207</v>
      </c>
      <c r="N4" s="79" t="s">
        <v>266</v>
      </c>
      <c r="O4" s="80" t="s">
        <v>267</v>
      </c>
      <c r="P4" s="79" t="s">
        <v>268</v>
      </c>
      <c r="Q4" s="79" t="s">
        <v>249</v>
      </c>
      <c r="R4" s="80" t="s">
        <v>269</v>
      </c>
      <c r="S4" s="80" t="s">
        <v>258</v>
      </c>
      <c r="T4" s="79" t="s">
        <v>256</v>
      </c>
      <c r="U4" s="80" t="s">
        <v>252</v>
      </c>
      <c r="V4" s="79" t="s">
        <v>246</v>
      </c>
      <c r="W4" s="80" t="s">
        <v>270</v>
      </c>
      <c r="X4" s="79" t="s">
        <v>207</v>
      </c>
      <c r="Y4" s="79" t="s">
        <v>230</v>
      </c>
      <c r="Z4" s="79" t="s">
        <v>271</v>
      </c>
      <c r="AA4" s="79" t="s">
        <v>233</v>
      </c>
      <c r="AC4" s="100" t="s">
        <v>29</v>
      </c>
      <c r="AD4" s="100" t="s">
        <v>30</v>
      </c>
      <c r="AE4" s="100" t="s">
        <v>31</v>
      </c>
      <c r="AF4" s="100" t="s">
        <v>32</v>
      </c>
      <c r="AG4" s="100" t="s">
        <v>33</v>
      </c>
      <c r="AK4" s="100" t="s">
        <v>34</v>
      </c>
      <c r="AN4" s="71" t="s">
        <v>266</v>
      </c>
      <c r="AO4" s="72" t="s">
        <v>267</v>
      </c>
      <c r="AP4" s="71" t="s">
        <v>268</v>
      </c>
      <c r="AQ4" s="71" t="s">
        <v>249</v>
      </c>
      <c r="AR4" s="72" t="s">
        <v>252</v>
      </c>
      <c r="AS4" s="71" t="s">
        <v>246</v>
      </c>
      <c r="AT4" s="72" t="s">
        <v>269</v>
      </c>
      <c r="AU4" s="72" t="s">
        <v>258</v>
      </c>
      <c r="AV4" s="71" t="s">
        <v>256</v>
      </c>
      <c r="AW4" s="72" t="s">
        <v>253</v>
      </c>
      <c r="AX4" s="71" t="s">
        <v>207</v>
      </c>
      <c r="AY4" s="72" t="s">
        <v>266</v>
      </c>
      <c r="AZ4" s="71" t="s">
        <v>267</v>
      </c>
      <c r="BA4" s="72" t="s">
        <v>268</v>
      </c>
      <c r="BB4" s="72" t="s">
        <v>249</v>
      </c>
      <c r="BC4" s="71" t="s">
        <v>252</v>
      </c>
      <c r="BD4" s="72" t="s">
        <v>246</v>
      </c>
      <c r="BE4" s="71" t="s">
        <v>269</v>
      </c>
      <c r="BF4" s="71" t="s">
        <v>258</v>
      </c>
      <c r="BG4" s="72" t="s">
        <v>256</v>
      </c>
      <c r="BH4" s="71" t="s">
        <v>270</v>
      </c>
      <c r="BI4" s="72" t="s">
        <v>207</v>
      </c>
      <c r="BJ4" s="71" t="s">
        <v>272</v>
      </c>
      <c r="BK4" s="71" t="s">
        <v>273</v>
      </c>
      <c r="BL4" s="71" t="s">
        <v>274</v>
      </c>
    </row>
    <row r="5" spans="1:65" ht="55.2" customHeight="1" x14ac:dyDescent="0.25">
      <c r="A5" s="3"/>
      <c r="B5" s="46" t="s">
        <v>39</v>
      </c>
      <c r="C5" s="75">
        <v>44801</v>
      </c>
      <c r="D5" s="76">
        <v>44808</v>
      </c>
      <c r="E5" s="75">
        <v>44811</v>
      </c>
      <c r="F5" s="76">
        <v>44814</v>
      </c>
      <c r="G5" s="75">
        <v>44828</v>
      </c>
      <c r="H5" s="76">
        <v>44835</v>
      </c>
      <c r="I5" s="75">
        <v>44842</v>
      </c>
      <c r="J5" s="76">
        <v>44849</v>
      </c>
      <c r="K5" s="75">
        <v>44856</v>
      </c>
      <c r="L5" s="76">
        <v>44877</v>
      </c>
      <c r="M5" s="75">
        <v>44884</v>
      </c>
      <c r="N5" s="76">
        <v>44891</v>
      </c>
      <c r="O5" s="75">
        <v>44898</v>
      </c>
      <c r="P5" s="76">
        <v>44905</v>
      </c>
      <c r="Q5" s="75">
        <v>44933</v>
      </c>
      <c r="R5" s="76">
        <v>44954</v>
      </c>
      <c r="S5" s="75">
        <v>44961</v>
      </c>
      <c r="T5" s="76">
        <v>44968</v>
      </c>
      <c r="U5" s="76">
        <v>44975</v>
      </c>
      <c r="V5" s="76">
        <v>44982</v>
      </c>
      <c r="W5" s="75">
        <v>44989</v>
      </c>
      <c r="X5" s="76">
        <v>44996</v>
      </c>
      <c r="Y5" s="76">
        <v>44638</v>
      </c>
      <c r="Z5" s="76">
        <v>44280</v>
      </c>
      <c r="AA5" s="76">
        <v>43922</v>
      </c>
      <c r="AB5" s="5"/>
      <c r="AC5" s="6"/>
      <c r="AD5" s="6"/>
      <c r="AE5" s="6"/>
      <c r="AF5" s="6"/>
      <c r="AG5" s="6"/>
      <c r="AH5" s="6"/>
      <c r="AI5" s="6"/>
      <c r="AN5" s="6"/>
    </row>
    <row r="6" spans="1:65" ht="41.4" customHeight="1" x14ac:dyDescent="0.25">
      <c r="A6" s="3"/>
      <c r="B6" s="156"/>
      <c r="C6" s="157" t="s">
        <v>240</v>
      </c>
      <c r="D6" s="158" t="s">
        <v>275</v>
      </c>
      <c r="E6" s="158" t="s">
        <v>276</v>
      </c>
      <c r="F6" s="158" t="s">
        <v>42</v>
      </c>
      <c r="G6" s="158" t="s">
        <v>42</v>
      </c>
      <c r="H6" s="158" t="s">
        <v>42</v>
      </c>
      <c r="I6" s="158" t="s">
        <v>45</v>
      </c>
      <c r="J6" s="158" t="s">
        <v>44</v>
      </c>
      <c r="K6" s="158" t="s">
        <v>42</v>
      </c>
      <c r="L6" s="158" t="s">
        <v>277</v>
      </c>
      <c r="M6" s="158" t="s">
        <v>42</v>
      </c>
      <c r="N6" s="158" t="s">
        <v>44</v>
      </c>
      <c r="O6" s="157" t="s">
        <v>42</v>
      </c>
      <c r="P6" s="158" t="s">
        <v>45</v>
      </c>
      <c r="Q6" s="158" t="s">
        <v>44</v>
      </c>
      <c r="R6" s="158" t="s">
        <v>42</v>
      </c>
      <c r="S6" s="157" t="s">
        <v>42</v>
      </c>
      <c r="T6" s="158" t="s">
        <v>42</v>
      </c>
      <c r="U6" s="158" t="s">
        <v>42</v>
      </c>
      <c r="V6" s="158" t="s">
        <v>240</v>
      </c>
      <c r="W6" s="157" t="s">
        <v>42</v>
      </c>
      <c r="X6" s="76" t="s">
        <v>239</v>
      </c>
      <c r="Y6" s="76" t="s">
        <v>42</v>
      </c>
      <c r="Z6" s="76" t="s">
        <v>42</v>
      </c>
      <c r="AA6" s="76" t="s">
        <v>240</v>
      </c>
      <c r="AB6" s="5"/>
      <c r="AC6" s="6"/>
      <c r="AD6" s="6"/>
      <c r="AE6" s="6"/>
      <c r="AF6" s="6"/>
      <c r="AG6" s="6"/>
      <c r="AH6" s="6"/>
      <c r="AI6" s="6"/>
      <c r="AN6" s="6"/>
    </row>
    <row r="7" spans="1:65" x14ac:dyDescent="0.25">
      <c r="A7" s="3">
        <v>1</v>
      </c>
      <c r="B7" s="8" t="s">
        <v>73</v>
      </c>
      <c r="C7" s="9" t="s">
        <v>74</v>
      </c>
      <c r="D7" s="191" t="s">
        <v>74</v>
      </c>
      <c r="E7" s="9" t="s">
        <v>74</v>
      </c>
      <c r="F7" s="9" t="s">
        <v>74</v>
      </c>
      <c r="G7" s="9" t="s">
        <v>74</v>
      </c>
      <c r="H7" s="9" t="s">
        <v>74</v>
      </c>
      <c r="I7" s="9" t="s">
        <v>74</v>
      </c>
      <c r="J7" s="9"/>
      <c r="K7" s="9" t="s">
        <v>74</v>
      </c>
      <c r="L7" s="9" t="s">
        <v>74</v>
      </c>
      <c r="M7" s="9" t="s">
        <v>74</v>
      </c>
      <c r="N7" s="9" t="s">
        <v>74</v>
      </c>
      <c r="O7" s="9" t="s">
        <v>74</v>
      </c>
      <c r="P7" s="9" t="s">
        <v>74</v>
      </c>
      <c r="Q7" s="9" t="s">
        <v>74</v>
      </c>
      <c r="R7" s="9" t="s">
        <v>74</v>
      </c>
      <c r="S7" s="9"/>
      <c r="T7" s="9"/>
      <c r="U7" s="9" t="s">
        <v>74</v>
      </c>
      <c r="V7" s="9" t="s">
        <v>74</v>
      </c>
      <c r="W7" s="9" t="s">
        <v>74</v>
      </c>
      <c r="X7" s="45" t="s">
        <v>74</v>
      </c>
      <c r="Y7" s="45" t="s">
        <v>74</v>
      </c>
      <c r="Z7" s="45" t="s">
        <v>74</v>
      </c>
      <c r="AA7" s="45"/>
      <c r="AB7" s="105">
        <f t="shared" ref="AB7:AB33" si="0">SUM(COUNTIF(C7:AA7,"h"),COUNTIF(C7:AA7,"w"),COUNTIF(C7:AA7,"k"),COUNTIF(C7:AA7,"t"))</f>
        <v>21</v>
      </c>
      <c r="AC7" s="101">
        <f t="shared" ref="AC7:AC33" si="1">COUNTIF(C7:AA7,"w")</f>
        <v>0</v>
      </c>
      <c r="AD7" s="101">
        <f t="shared" ref="AD7:AD33" si="2">COUNTIF(C7:AA7,"k")</f>
        <v>21</v>
      </c>
      <c r="AE7" s="101">
        <f t="shared" ref="AE7:AE33" si="3">BM7</f>
        <v>0</v>
      </c>
      <c r="AF7" s="101">
        <f t="shared" ref="AF7:AF33" si="4">COUNTIF(C7:AA7,"t")</f>
        <v>0</v>
      </c>
      <c r="AG7" s="102" t="e">
        <f t="shared" ref="AG7:AG33" si="5">(AC7/(AB7+AE7-AF7-AD7))*100</f>
        <v>#DIV/0!</v>
      </c>
      <c r="AH7" s="6"/>
      <c r="AI7" s="6"/>
      <c r="AK7" s="195">
        <f t="shared" ref="AK7:AK33" si="6">AB7-AF7</f>
        <v>21</v>
      </c>
      <c r="AN7" s="6">
        <f t="shared" ref="AN7:AN33" si="7">IF(C$38="ja",0,IF(C7="h",-1,IF(C7="k",0,IF(C7="w",-1,0))))</f>
        <v>0</v>
      </c>
      <c r="AO7" s="6">
        <f t="shared" ref="AO7:AO33" si="8">IF(D$38="ja",0,IF(D7="h",-1,IF(D7="k",0,IF(D7="w",-1,0))))</f>
        <v>0</v>
      </c>
      <c r="AP7" s="6">
        <f t="shared" ref="AP7:AP33" si="9">IF(E$38="ja",0,IF(E7="h",-1,IF(E7="k",0,IF(E7="w",-1,0))))</f>
        <v>0</v>
      </c>
      <c r="AQ7" s="6">
        <f t="shared" ref="AQ7:AQ33" si="10">IF(F$38="ja",0,IF(F7="h",-1,IF(F7="k",0,IF(F7="w",-1,0))))</f>
        <v>0</v>
      </c>
      <c r="AR7" s="6">
        <f t="shared" ref="AR7:AR33" si="11">IF(G$38="ja",0,IF(G7="h",-1,IF(G7="k",0,IF(G7="w",-1,0))))</f>
        <v>0</v>
      </c>
      <c r="AS7" s="6">
        <f t="shared" ref="AS7:AS33" si="12">IF(H$38="ja",0,IF(H7="h",-1,IF(H7="k",0,IF(H7="w",-1,0))))</f>
        <v>0</v>
      </c>
      <c r="AT7" s="6">
        <f t="shared" ref="AT7:AT33" si="13">IF(I$38="ja",0,IF(I7="h",-1,IF(I7="k",0,IF(I7="w",-1,0))))</f>
        <v>0</v>
      </c>
      <c r="AU7" s="6">
        <f t="shared" ref="AU7:AU33" si="14">IF(J$38="ja",0,IF(J7="h",-1,IF(J7="k",0,IF(J7="w",-1,0))))</f>
        <v>0</v>
      </c>
      <c r="AV7" s="6">
        <f t="shared" ref="AV7:AV33" si="15">IF(K$38="ja",0,IF(K7="h",-1,IF(K7="k",0,IF(K7="w",-1,0))))</f>
        <v>0</v>
      </c>
      <c r="AW7" s="6">
        <f t="shared" ref="AW7:AW33" si="16">IF(L$38="ja",0,IF(L7="h",-1,IF(L7="k",0,IF(L7="w",-1,0))))</f>
        <v>0</v>
      </c>
      <c r="AX7" s="6">
        <f t="shared" ref="AX7:AX33" si="17">IF(M$38="ja",0,IF(M7="h",-1,IF(M7="k",0,IF(M7="w",-1,0))))</f>
        <v>0</v>
      </c>
      <c r="AY7" s="6">
        <f t="shared" ref="AY7:AY33" si="18">IF(N$38="ja",0,IF(N7="h",-1,IF(N7="k",0,IF(N7="w",-1,0))))</f>
        <v>0</v>
      </c>
      <c r="AZ7" s="6">
        <f t="shared" ref="AZ7:AZ33" si="19">IF(O$38="ja",0,IF(O7="h",-1,IF(O7="k",0,IF(O7="w",-1,0))))</f>
        <v>0</v>
      </c>
      <c r="BA7" s="6">
        <f t="shared" ref="BA7:BA33" si="20">IF(P$38="ja",0,IF(P7="h",-1,IF(P7="k",0,IF(P7="w",-1,0))))</f>
        <v>0</v>
      </c>
      <c r="BB7" s="6">
        <f t="shared" ref="BB7:BB33" si="21">IF(Q$38="ja",0,IF(Q7="h",-1,IF(Q7="k",0,IF(Q7="w",-1,0))))</f>
        <v>0</v>
      </c>
      <c r="BC7" s="6">
        <f t="shared" ref="BC7:BC33" si="22">IF(R$38="ja",0,IF(R7="h",-1,IF(R7="k",0,IF(R7="w",-1,0))))</f>
        <v>0</v>
      </c>
      <c r="BD7" s="6">
        <f t="shared" ref="BD7:BD33" si="23">IF(S$38="ja",0,IF(S7="h",-1,IF(S7="k",0,IF(S7="w",-1,0))))</f>
        <v>0</v>
      </c>
      <c r="BE7" s="6">
        <f t="shared" ref="BE7:BE33" si="24">IF(T$38="ja",0,IF(T7="h",-1,IF(T7="k",0,IF(T7="w",-1,0))))</f>
        <v>0</v>
      </c>
      <c r="BF7" s="6">
        <f t="shared" ref="BF7:BF33" si="25">IF(U$38="ja",0,IF(U7="h",-1,IF(U7="k",0,IF(U7="w",-1,0))))</f>
        <v>0</v>
      </c>
      <c r="BG7" s="6">
        <f t="shared" ref="BG7:BG33" si="26">IF(V$38="ja",0,IF(V7="h",-1,IF(V7="k",0,IF(V7="w",-1,0))))</f>
        <v>0</v>
      </c>
      <c r="BH7" s="6">
        <f t="shared" ref="BH7:BH33" si="27">IF(W$38="ja",0,IF(W7="h",-1,IF(W7="k",0,IF(W7="w",-1,0))))</f>
        <v>0</v>
      </c>
      <c r="BI7" s="6">
        <f t="shared" ref="BI7:BI33" si="28">IF(X$38="ja",0,IF(X7="h",-1,IF(X7="k",0,IF(X7="w",-1,0))))</f>
        <v>0</v>
      </c>
      <c r="BJ7" s="6">
        <f t="shared" ref="BJ7:BJ33" si="29">IF(Y$38="ja",0,IF(Y7="h",-1,IF(Y7="k",0,IF(Y7="w",-1,0))))</f>
        <v>0</v>
      </c>
      <c r="BK7" s="6">
        <f t="shared" ref="BK7:BK33" si="30">IF(Z$38="ja",0,IF(Z7="h",-1,IF(Z7="k",0,IF(Z7="w",-1,0))))</f>
        <v>0</v>
      </c>
      <c r="BL7" s="6">
        <f t="shared" ref="BL7:BL33" si="31">IF(AA$38="ja",0,IF(AA7="h",-1,IF(AA7="k",0,IF(AA7="w",-1,0))))</f>
        <v>0</v>
      </c>
      <c r="BM7" s="6">
        <f t="shared" ref="BM7:BM33" si="32">SUM(AN7:BL7)</f>
        <v>0</v>
      </c>
    </row>
    <row r="8" spans="1:65" x14ac:dyDescent="0.25">
      <c r="A8" s="3">
        <v>2</v>
      </c>
      <c r="B8" s="8" t="s">
        <v>64</v>
      </c>
      <c r="C8" s="9" t="s">
        <v>299</v>
      </c>
      <c r="D8" s="191" t="s">
        <v>48</v>
      </c>
      <c r="E8" s="9" t="s">
        <v>48</v>
      </c>
      <c r="F8" s="9" t="s">
        <v>48</v>
      </c>
      <c r="G8" s="9" t="s">
        <v>48</v>
      </c>
      <c r="H8" s="9" t="s">
        <v>48</v>
      </c>
      <c r="I8" s="9"/>
      <c r="J8" s="9"/>
      <c r="K8" s="9" t="s">
        <v>299</v>
      </c>
      <c r="L8" s="9" t="s">
        <v>48</v>
      </c>
      <c r="M8" s="9" t="s">
        <v>48</v>
      </c>
      <c r="N8" s="9" t="s">
        <v>299</v>
      </c>
      <c r="O8" s="9" t="s">
        <v>48</v>
      </c>
      <c r="P8" s="9" t="s">
        <v>48</v>
      </c>
      <c r="Q8" s="9" t="s">
        <v>299</v>
      </c>
      <c r="R8" s="9"/>
      <c r="S8" s="9"/>
      <c r="T8" s="9"/>
      <c r="U8" s="9" t="s">
        <v>48</v>
      </c>
      <c r="V8" s="9" t="s">
        <v>48</v>
      </c>
      <c r="W8" s="9" t="s">
        <v>48</v>
      </c>
      <c r="X8" s="45" t="s">
        <v>48</v>
      </c>
      <c r="Y8" s="45" t="s">
        <v>48</v>
      </c>
      <c r="Z8" s="45" t="s">
        <v>48</v>
      </c>
      <c r="AA8" s="9"/>
      <c r="AB8" s="105">
        <f t="shared" si="0"/>
        <v>15</v>
      </c>
      <c r="AC8" s="101">
        <f t="shared" si="1"/>
        <v>0</v>
      </c>
      <c r="AD8" s="101">
        <f t="shared" si="2"/>
        <v>0</v>
      </c>
      <c r="AE8" s="101">
        <f t="shared" si="3"/>
        <v>-10</v>
      </c>
      <c r="AF8" s="101">
        <f t="shared" si="4"/>
        <v>0</v>
      </c>
      <c r="AG8" s="102">
        <f t="shared" si="5"/>
        <v>0</v>
      </c>
      <c r="AK8" s="195">
        <f t="shared" si="6"/>
        <v>15</v>
      </c>
      <c r="AN8" s="6">
        <f t="shared" si="7"/>
        <v>0</v>
      </c>
      <c r="AO8" s="6">
        <f t="shared" si="8"/>
        <v>0</v>
      </c>
      <c r="AP8" s="6">
        <f t="shared" si="9"/>
        <v>-1</v>
      </c>
      <c r="AQ8" s="6">
        <f t="shared" si="10"/>
        <v>0</v>
      </c>
      <c r="AR8" s="6">
        <f t="shared" si="11"/>
        <v>-1</v>
      </c>
      <c r="AS8" s="6">
        <f t="shared" si="12"/>
        <v>-1</v>
      </c>
      <c r="AT8" s="6">
        <f t="shared" si="13"/>
        <v>0</v>
      </c>
      <c r="AU8" s="6">
        <f t="shared" si="14"/>
        <v>0</v>
      </c>
      <c r="AV8" s="6">
        <f t="shared" si="15"/>
        <v>0</v>
      </c>
      <c r="AW8" s="6">
        <f t="shared" si="16"/>
        <v>0</v>
      </c>
      <c r="AX8" s="6">
        <f t="shared" si="17"/>
        <v>-1</v>
      </c>
      <c r="AY8" s="6">
        <f t="shared" si="18"/>
        <v>0</v>
      </c>
      <c r="AZ8" s="6">
        <f t="shared" si="19"/>
        <v>-1</v>
      </c>
      <c r="BA8" s="6">
        <f t="shared" si="20"/>
        <v>-1</v>
      </c>
      <c r="BB8" s="6">
        <f t="shared" si="21"/>
        <v>0</v>
      </c>
      <c r="BC8" s="6">
        <f t="shared" si="22"/>
        <v>0</v>
      </c>
      <c r="BD8" s="6">
        <f t="shared" si="23"/>
        <v>0</v>
      </c>
      <c r="BE8" s="6">
        <f t="shared" si="24"/>
        <v>0</v>
      </c>
      <c r="BF8" s="6">
        <f t="shared" si="25"/>
        <v>-1</v>
      </c>
      <c r="BG8" s="6">
        <f t="shared" si="26"/>
        <v>0</v>
      </c>
      <c r="BH8" s="6">
        <f t="shared" si="27"/>
        <v>0</v>
      </c>
      <c r="BI8" s="6">
        <f t="shared" si="28"/>
        <v>-1</v>
      </c>
      <c r="BJ8" s="6">
        <f t="shared" si="29"/>
        <v>-1</v>
      </c>
      <c r="BK8" s="6">
        <f t="shared" si="30"/>
        <v>-1</v>
      </c>
      <c r="BL8" s="6">
        <f t="shared" si="31"/>
        <v>0</v>
      </c>
      <c r="BM8" s="6">
        <f t="shared" si="32"/>
        <v>-10</v>
      </c>
    </row>
    <row r="9" spans="1:65" x14ac:dyDescent="0.25">
      <c r="A9" s="3">
        <v>3</v>
      </c>
      <c r="B9" s="8" t="s">
        <v>57</v>
      </c>
      <c r="C9" s="9" t="s">
        <v>52</v>
      </c>
      <c r="D9" s="191" t="s">
        <v>48</v>
      </c>
      <c r="E9" s="9"/>
      <c r="F9" s="9" t="s">
        <v>48</v>
      </c>
      <c r="G9" s="9"/>
      <c r="H9" s="9" t="s">
        <v>48</v>
      </c>
      <c r="I9" s="9" t="s">
        <v>48</v>
      </c>
      <c r="J9" s="9" t="s">
        <v>48</v>
      </c>
      <c r="K9" s="9" t="s">
        <v>299</v>
      </c>
      <c r="L9" s="9"/>
      <c r="M9" s="9" t="s">
        <v>48</v>
      </c>
      <c r="N9" s="9" t="s">
        <v>299</v>
      </c>
      <c r="O9" s="9" t="s">
        <v>48</v>
      </c>
      <c r="P9" s="9" t="s">
        <v>299</v>
      </c>
      <c r="Q9" s="9"/>
      <c r="R9" s="9" t="s">
        <v>48</v>
      </c>
      <c r="S9" s="9"/>
      <c r="T9" s="9" t="s">
        <v>48</v>
      </c>
      <c r="U9" s="9" t="s">
        <v>48</v>
      </c>
      <c r="V9" s="9" t="s">
        <v>48</v>
      </c>
      <c r="W9" s="9" t="s">
        <v>48</v>
      </c>
      <c r="X9" s="45" t="s">
        <v>48</v>
      </c>
      <c r="Y9" s="45" t="s">
        <v>299</v>
      </c>
      <c r="Z9" s="45" t="s">
        <v>48</v>
      </c>
      <c r="AA9" s="9"/>
      <c r="AB9" s="105">
        <f t="shared" si="0"/>
        <v>15</v>
      </c>
      <c r="AC9" s="101">
        <f t="shared" si="1"/>
        <v>0</v>
      </c>
      <c r="AD9" s="101">
        <f t="shared" si="2"/>
        <v>0</v>
      </c>
      <c r="AE9" s="101">
        <f t="shared" si="3"/>
        <v>-8</v>
      </c>
      <c r="AF9" s="101">
        <f t="shared" si="4"/>
        <v>1</v>
      </c>
      <c r="AG9" s="102">
        <f t="shared" si="5"/>
        <v>0</v>
      </c>
      <c r="AK9" s="195">
        <f t="shared" si="6"/>
        <v>14</v>
      </c>
      <c r="AN9" s="6">
        <f t="shared" si="7"/>
        <v>0</v>
      </c>
      <c r="AO9" s="6">
        <f t="shared" si="8"/>
        <v>0</v>
      </c>
      <c r="AP9" s="6">
        <f t="shared" si="9"/>
        <v>0</v>
      </c>
      <c r="AQ9" s="6">
        <f t="shared" si="10"/>
        <v>0</v>
      </c>
      <c r="AR9" s="6">
        <f t="shared" si="11"/>
        <v>0</v>
      </c>
      <c r="AS9" s="6">
        <f t="shared" si="12"/>
        <v>-1</v>
      </c>
      <c r="AT9" s="6">
        <f t="shared" si="13"/>
        <v>-1</v>
      </c>
      <c r="AU9" s="6">
        <f t="shared" si="14"/>
        <v>-1</v>
      </c>
      <c r="AV9" s="6">
        <f t="shared" si="15"/>
        <v>0</v>
      </c>
      <c r="AW9" s="6">
        <f t="shared" si="16"/>
        <v>0</v>
      </c>
      <c r="AX9" s="6">
        <f t="shared" si="17"/>
        <v>-1</v>
      </c>
      <c r="AY9" s="6">
        <f t="shared" si="18"/>
        <v>0</v>
      </c>
      <c r="AZ9" s="6">
        <f t="shared" si="19"/>
        <v>-1</v>
      </c>
      <c r="BA9" s="6">
        <f t="shared" si="20"/>
        <v>0</v>
      </c>
      <c r="BB9" s="6">
        <f t="shared" si="21"/>
        <v>0</v>
      </c>
      <c r="BC9" s="6">
        <f t="shared" si="22"/>
        <v>0</v>
      </c>
      <c r="BD9" s="6">
        <f t="shared" si="23"/>
        <v>0</v>
      </c>
      <c r="BE9" s="6">
        <f t="shared" si="24"/>
        <v>0</v>
      </c>
      <c r="BF9" s="6">
        <f t="shared" si="25"/>
        <v>-1</v>
      </c>
      <c r="BG9" s="6">
        <f t="shared" si="26"/>
        <v>0</v>
      </c>
      <c r="BH9" s="6">
        <f t="shared" si="27"/>
        <v>0</v>
      </c>
      <c r="BI9" s="6">
        <f t="shared" si="28"/>
        <v>-1</v>
      </c>
      <c r="BJ9" s="6">
        <f t="shared" si="29"/>
        <v>0</v>
      </c>
      <c r="BK9" s="6">
        <f t="shared" si="30"/>
        <v>-1</v>
      </c>
      <c r="BL9" s="6">
        <f t="shared" si="31"/>
        <v>0</v>
      </c>
      <c r="BM9" s="6">
        <f t="shared" si="32"/>
        <v>-8</v>
      </c>
    </row>
    <row r="10" spans="1:65" x14ac:dyDescent="0.25">
      <c r="A10" s="3">
        <v>4</v>
      </c>
      <c r="B10" s="8" t="s">
        <v>61</v>
      </c>
      <c r="C10" s="9" t="s">
        <v>48</v>
      </c>
      <c r="D10" s="191" t="s">
        <v>48</v>
      </c>
      <c r="E10" s="9" t="s">
        <v>48</v>
      </c>
      <c r="F10" s="9" t="s">
        <v>48</v>
      </c>
      <c r="G10" s="9" t="s">
        <v>48</v>
      </c>
      <c r="H10" s="9" t="s">
        <v>299</v>
      </c>
      <c r="I10" s="9" t="s">
        <v>48</v>
      </c>
      <c r="J10" s="9"/>
      <c r="K10" s="9" t="s">
        <v>48</v>
      </c>
      <c r="L10" s="9" t="s">
        <v>48</v>
      </c>
      <c r="M10" s="9" t="s">
        <v>299</v>
      </c>
      <c r="N10" s="9"/>
      <c r="O10" s="9" t="s">
        <v>299</v>
      </c>
      <c r="P10" s="9" t="s">
        <v>48</v>
      </c>
      <c r="Q10" s="9" t="s">
        <v>48</v>
      </c>
      <c r="R10" s="9"/>
      <c r="S10" s="9"/>
      <c r="T10" s="9"/>
      <c r="U10" s="9" t="s">
        <v>299</v>
      </c>
      <c r="V10" s="9" t="s">
        <v>48</v>
      </c>
      <c r="W10" s="9" t="s">
        <v>48</v>
      </c>
      <c r="X10" s="45" t="s">
        <v>48</v>
      </c>
      <c r="Y10" s="45" t="s">
        <v>48</v>
      </c>
      <c r="Z10" s="45" t="s">
        <v>299</v>
      </c>
      <c r="AA10" s="9"/>
      <c r="AB10" s="105">
        <f t="shared" si="0"/>
        <v>14</v>
      </c>
      <c r="AC10" s="101">
        <f t="shared" si="1"/>
        <v>0</v>
      </c>
      <c r="AD10" s="101">
        <f t="shared" si="2"/>
        <v>0</v>
      </c>
      <c r="AE10" s="101">
        <f t="shared" si="3"/>
        <v>-9</v>
      </c>
      <c r="AF10" s="101">
        <f t="shared" si="4"/>
        <v>0</v>
      </c>
      <c r="AG10" s="102">
        <f t="shared" si="5"/>
        <v>0</v>
      </c>
      <c r="AH10" s="6"/>
      <c r="AI10" s="6"/>
      <c r="AK10" s="195">
        <f t="shared" si="6"/>
        <v>14</v>
      </c>
      <c r="AN10" s="6">
        <f t="shared" si="7"/>
        <v>-1</v>
      </c>
      <c r="AO10" s="6">
        <f t="shared" si="8"/>
        <v>0</v>
      </c>
      <c r="AP10" s="6">
        <f t="shared" si="9"/>
        <v>-1</v>
      </c>
      <c r="AQ10" s="6">
        <f t="shared" si="10"/>
        <v>0</v>
      </c>
      <c r="AR10" s="6">
        <f t="shared" si="11"/>
        <v>-1</v>
      </c>
      <c r="AS10" s="6">
        <f t="shared" si="12"/>
        <v>0</v>
      </c>
      <c r="AT10" s="6">
        <f t="shared" si="13"/>
        <v>-1</v>
      </c>
      <c r="AU10" s="6">
        <f t="shared" si="14"/>
        <v>0</v>
      </c>
      <c r="AV10" s="6">
        <f t="shared" si="15"/>
        <v>-1</v>
      </c>
      <c r="AW10" s="6">
        <f t="shared" si="16"/>
        <v>0</v>
      </c>
      <c r="AX10" s="6">
        <f t="shared" si="17"/>
        <v>0</v>
      </c>
      <c r="AY10" s="6">
        <f t="shared" si="18"/>
        <v>0</v>
      </c>
      <c r="AZ10" s="6">
        <f t="shared" si="19"/>
        <v>0</v>
      </c>
      <c r="BA10" s="6">
        <f t="shared" si="20"/>
        <v>-1</v>
      </c>
      <c r="BB10" s="6">
        <f t="shared" si="21"/>
        <v>-1</v>
      </c>
      <c r="BC10" s="6">
        <f t="shared" si="22"/>
        <v>0</v>
      </c>
      <c r="BD10" s="6">
        <f t="shared" si="23"/>
        <v>0</v>
      </c>
      <c r="BE10" s="6">
        <f t="shared" si="24"/>
        <v>0</v>
      </c>
      <c r="BF10" s="6">
        <f t="shared" si="25"/>
        <v>0</v>
      </c>
      <c r="BG10" s="6">
        <f t="shared" si="26"/>
        <v>0</v>
      </c>
      <c r="BH10" s="6">
        <f t="shared" si="27"/>
        <v>0</v>
      </c>
      <c r="BI10" s="6">
        <f t="shared" si="28"/>
        <v>-1</v>
      </c>
      <c r="BJ10" s="6">
        <f t="shared" si="29"/>
        <v>-1</v>
      </c>
      <c r="BK10" s="6">
        <f t="shared" si="30"/>
        <v>0</v>
      </c>
      <c r="BL10" s="6">
        <f t="shared" si="31"/>
        <v>0</v>
      </c>
      <c r="BM10" s="6">
        <f t="shared" si="32"/>
        <v>-9</v>
      </c>
    </row>
    <row r="11" spans="1:65" x14ac:dyDescent="0.25">
      <c r="A11" s="3">
        <v>5</v>
      </c>
      <c r="B11" s="8" t="s">
        <v>72</v>
      </c>
      <c r="C11" s="9" t="s">
        <v>299</v>
      </c>
      <c r="D11" s="191" t="s">
        <v>48</v>
      </c>
      <c r="E11" s="9" t="s">
        <v>52</v>
      </c>
      <c r="F11" s="9" t="s">
        <v>52</v>
      </c>
      <c r="G11" s="9"/>
      <c r="H11" s="9" t="s">
        <v>52</v>
      </c>
      <c r="I11" s="9" t="s">
        <v>48</v>
      </c>
      <c r="J11" s="9"/>
      <c r="K11" s="9" t="s">
        <v>48</v>
      </c>
      <c r="L11" s="9"/>
      <c r="M11" s="9" t="s">
        <v>52</v>
      </c>
      <c r="N11" s="9" t="s">
        <v>48</v>
      </c>
      <c r="O11" s="9" t="s">
        <v>48</v>
      </c>
      <c r="P11" s="9" t="s">
        <v>52</v>
      </c>
      <c r="Q11" s="9" t="s">
        <v>299</v>
      </c>
      <c r="R11" s="9" t="s">
        <v>48</v>
      </c>
      <c r="S11" s="9"/>
      <c r="T11" s="9" t="s">
        <v>74</v>
      </c>
      <c r="U11" s="9" t="s">
        <v>52</v>
      </c>
      <c r="V11" s="9" t="s">
        <v>52</v>
      </c>
      <c r="W11" s="9"/>
      <c r="X11" s="45" t="s">
        <v>299</v>
      </c>
      <c r="Y11" s="45" t="s">
        <v>48</v>
      </c>
      <c r="Z11" s="45" t="s">
        <v>299</v>
      </c>
      <c r="AA11" s="9"/>
      <c r="AB11" s="105">
        <f t="shared" si="0"/>
        <v>15</v>
      </c>
      <c r="AC11" s="101">
        <f t="shared" si="1"/>
        <v>0</v>
      </c>
      <c r="AD11" s="101">
        <f t="shared" si="2"/>
        <v>1</v>
      </c>
      <c r="AE11" s="101">
        <f t="shared" si="3"/>
        <v>-5</v>
      </c>
      <c r="AF11" s="101">
        <f t="shared" si="4"/>
        <v>7</v>
      </c>
      <c r="AG11" s="102">
        <f t="shared" si="5"/>
        <v>0</v>
      </c>
      <c r="AK11" s="195">
        <f t="shared" si="6"/>
        <v>8</v>
      </c>
      <c r="AN11" s="6">
        <f t="shared" si="7"/>
        <v>0</v>
      </c>
      <c r="AO11" s="6">
        <f t="shared" si="8"/>
        <v>0</v>
      </c>
      <c r="AP11" s="6">
        <f t="shared" si="9"/>
        <v>0</v>
      </c>
      <c r="AQ11" s="6">
        <f t="shared" si="10"/>
        <v>0</v>
      </c>
      <c r="AR11" s="6">
        <f t="shared" si="11"/>
        <v>0</v>
      </c>
      <c r="AS11" s="6">
        <f t="shared" si="12"/>
        <v>0</v>
      </c>
      <c r="AT11" s="6">
        <f t="shared" si="13"/>
        <v>-1</v>
      </c>
      <c r="AU11" s="6">
        <f t="shared" si="14"/>
        <v>0</v>
      </c>
      <c r="AV11" s="6">
        <f t="shared" si="15"/>
        <v>-1</v>
      </c>
      <c r="AW11" s="6">
        <f t="shared" si="16"/>
        <v>0</v>
      </c>
      <c r="AX11" s="6">
        <f t="shared" si="17"/>
        <v>0</v>
      </c>
      <c r="AY11" s="6">
        <f t="shared" si="18"/>
        <v>-1</v>
      </c>
      <c r="AZ11" s="6">
        <f t="shared" si="19"/>
        <v>-1</v>
      </c>
      <c r="BA11" s="6">
        <f t="shared" si="20"/>
        <v>0</v>
      </c>
      <c r="BB11" s="6">
        <f t="shared" si="21"/>
        <v>0</v>
      </c>
      <c r="BC11" s="6">
        <f t="shared" si="22"/>
        <v>0</v>
      </c>
      <c r="BD11" s="6">
        <f t="shared" si="23"/>
        <v>0</v>
      </c>
      <c r="BE11" s="6">
        <f t="shared" si="24"/>
        <v>0</v>
      </c>
      <c r="BF11" s="6">
        <f t="shared" si="25"/>
        <v>0</v>
      </c>
      <c r="BG11" s="6">
        <f t="shared" si="26"/>
        <v>0</v>
      </c>
      <c r="BH11" s="6">
        <f t="shared" si="27"/>
        <v>0</v>
      </c>
      <c r="BI11" s="6">
        <f t="shared" si="28"/>
        <v>0</v>
      </c>
      <c r="BJ11" s="6">
        <f t="shared" si="29"/>
        <v>-1</v>
      </c>
      <c r="BK11" s="6">
        <f t="shared" si="30"/>
        <v>0</v>
      </c>
      <c r="BL11" s="6">
        <f t="shared" si="31"/>
        <v>0</v>
      </c>
      <c r="BM11" s="6">
        <f t="shared" si="32"/>
        <v>-5</v>
      </c>
    </row>
    <row r="12" spans="1:65" x14ac:dyDescent="0.25">
      <c r="A12" s="3">
        <v>6</v>
      </c>
      <c r="B12" s="8" t="s">
        <v>62</v>
      </c>
      <c r="C12" s="9" t="s">
        <v>299</v>
      </c>
      <c r="D12" s="191" t="s">
        <v>48</v>
      </c>
      <c r="E12" s="9" t="s">
        <v>48</v>
      </c>
      <c r="F12" s="9"/>
      <c r="G12" s="9" t="s">
        <v>48</v>
      </c>
      <c r="H12" s="9" t="s">
        <v>48</v>
      </c>
      <c r="I12" s="9" t="s">
        <v>48</v>
      </c>
      <c r="J12" s="9"/>
      <c r="K12" s="9" t="s">
        <v>299</v>
      </c>
      <c r="L12" s="9"/>
      <c r="M12" s="9" t="s">
        <v>48</v>
      </c>
      <c r="N12" s="9" t="s">
        <v>299</v>
      </c>
      <c r="O12" s="9" t="s">
        <v>48</v>
      </c>
      <c r="P12" s="9"/>
      <c r="Q12" s="9" t="s">
        <v>48</v>
      </c>
      <c r="R12" s="9" t="s">
        <v>48</v>
      </c>
      <c r="S12" s="9"/>
      <c r="T12" s="9"/>
      <c r="U12" s="9" t="s">
        <v>52</v>
      </c>
      <c r="V12" s="9"/>
      <c r="W12" s="9" t="s">
        <v>52</v>
      </c>
      <c r="X12" s="45" t="s">
        <v>52</v>
      </c>
      <c r="Y12" s="45" t="s">
        <v>52</v>
      </c>
      <c r="Z12" s="45" t="s">
        <v>48</v>
      </c>
      <c r="AA12" s="9"/>
      <c r="AB12" s="105">
        <f t="shared" si="0"/>
        <v>14</v>
      </c>
      <c r="AC12" s="101">
        <f t="shared" si="1"/>
        <v>0</v>
      </c>
      <c r="AD12" s="101">
        <f t="shared" si="2"/>
        <v>0</v>
      </c>
      <c r="AE12" s="101">
        <f t="shared" si="3"/>
        <v>-8</v>
      </c>
      <c r="AF12" s="101">
        <f t="shared" si="4"/>
        <v>4</v>
      </c>
      <c r="AG12" s="102">
        <f t="shared" si="5"/>
        <v>0</v>
      </c>
      <c r="AK12" s="195">
        <f t="shared" si="6"/>
        <v>10</v>
      </c>
      <c r="AN12" s="6">
        <f t="shared" si="7"/>
        <v>0</v>
      </c>
      <c r="AO12" s="6">
        <f t="shared" si="8"/>
        <v>0</v>
      </c>
      <c r="AP12" s="6">
        <f t="shared" si="9"/>
        <v>-1</v>
      </c>
      <c r="AQ12" s="6">
        <f t="shared" si="10"/>
        <v>0</v>
      </c>
      <c r="AR12" s="6">
        <f t="shared" si="11"/>
        <v>-1</v>
      </c>
      <c r="AS12" s="6">
        <f t="shared" si="12"/>
        <v>-1</v>
      </c>
      <c r="AT12" s="6">
        <f t="shared" si="13"/>
        <v>-1</v>
      </c>
      <c r="AU12" s="6">
        <f t="shared" si="14"/>
        <v>0</v>
      </c>
      <c r="AV12" s="6">
        <f t="shared" si="15"/>
        <v>0</v>
      </c>
      <c r="AW12" s="6">
        <f t="shared" si="16"/>
        <v>0</v>
      </c>
      <c r="AX12" s="6">
        <f t="shared" si="17"/>
        <v>-1</v>
      </c>
      <c r="AY12" s="6">
        <f t="shared" si="18"/>
        <v>0</v>
      </c>
      <c r="AZ12" s="6">
        <f t="shared" si="19"/>
        <v>-1</v>
      </c>
      <c r="BA12" s="6">
        <f t="shared" si="20"/>
        <v>0</v>
      </c>
      <c r="BB12" s="6">
        <f t="shared" si="21"/>
        <v>-1</v>
      </c>
      <c r="BC12" s="6">
        <f t="shared" si="22"/>
        <v>0</v>
      </c>
      <c r="BD12" s="6">
        <f t="shared" si="23"/>
        <v>0</v>
      </c>
      <c r="BE12" s="6">
        <f t="shared" si="24"/>
        <v>0</v>
      </c>
      <c r="BF12" s="6">
        <f t="shared" si="25"/>
        <v>0</v>
      </c>
      <c r="BG12" s="6">
        <f t="shared" si="26"/>
        <v>0</v>
      </c>
      <c r="BH12" s="6">
        <f t="shared" si="27"/>
        <v>0</v>
      </c>
      <c r="BI12" s="6">
        <f t="shared" si="28"/>
        <v>0</v>
      </c>
      <c r="BJ12" s="6">
        <f t="shared" si="29"/>
        <v>0</v>
      </c>
      <c r="BK12" s="6">
        <f t="shared" si="30"/>
        <v>-1</v>
      </c>
      <c r="BL12" s="6">
        <f t="shared" si="31"/>
        <v>0</v>
      </c>
      <c r="BM12" s="6">
        <f t="shared" si="32"/>
        <v>-8</v>
      </c>
    </row>
    <row r="13" spans="1:65" x14ac:dyDescent="0.25">
      <c r="A13" s="3">
        <v>7</v>
      </c>
      <c r="B13" s="8" t="s">
        <v>70</v>
      </c>
      <c r="C13" s="9" t="s">
        <v>299</v>
      </c>
      <c r="D13" s="191" t="s">
        <v>48</v>
      </c>
      <c r="E13" s="9" t="s">
        <v>299</v>
      </c>
      <c r="F13" s="9"/>
      <c r="G13" s="9" t="s">
        <v>48</v>
      </c>
      <c r="H13" s="9" t="s">
        <v>48</v>
      </c>
      <c r="I13" s="9" t="s">
        <v>48</v>
      </c>
      <c r="J13" s="9"/>
      <c r="K13" s="9" t="s">
        <v>48</v>
      </c>
      <c r="L13" s="9" t="s">
        <v>48</v>
      </c>
      <c r="M13" s="9" t="s">
        <v>48</v>
      </c>
      <c r="N13" s="9" t="s">
        <v>299</v>
      </c>
      <c r="O13" s="9"/>
      <c r="P13" s="9" t="s">
        <v>48</v>
      </c>
      <c r="Q13" s="9" t="s">
        <v>48</v>
      </c>
      <c r="R13" s="9"/>
      <c r="S13" s="9"/>
      <c r="T13" s="9"/>
      <c r="U13" s="9" t="s">
        <v>48</v>
      </c>
      <c r="V13" s="9" t="s">
        <v>48</v>
      </c>
      <c r="W13" s="9" t="s">
        <v>48</v>
      </c>
      <c r="X13" s="45" t="s">
        <v>299</v>
      </c>
      <c r="Y13" s="45"/>
      <c r="Z13" s="45" t="s">
        <v>48</v>
      </c>
      <c r="AA13" s="9"/>
      <c r="AB13" s="105">
        <f t="shared" si="0"/>
        <v>13</v>
      </c>
      <c r="AC13" s="101">
        <f t="shared" si="1"/>
        <v>0</v>
      </c>
      <c r="AD13" s="101">
        <f t="shared" si="2"/>
        <v>0</v>
      </c>
      <c r="AE13" s="101">
        <f t="shared" si="3"/>
        <v>-9</v>
      </c>
      <c r="AF13" s="101">
        <f t="shared" si="4"/>
        <v>0</v>
      </c>
      <c r="AG13" s="102">
        <f t="shared" si="5"/>
        <v>0</v>
      </c>
      <c r="AK13" s="195">
        <f t="shared" si="6"/>
        <v>13</v>
      </c>
      <c r="AN13" s="6">
        <f t="shared" si="7"/>
        <v>0</v>
      </c>
      <c r="AO13" s="6">
        <f t="shared" si="8"/>
        <v>0</v>
      </c>
      <c r="AP13" s="6">
        <f t="shared" si="9"/>
        <v>0</v>
      </c>
      <c r="AQ13" s="6">
        <f t="shared" si="10"/>
        <v>0</v>
      </c>
      <c r="AR13" s="6">
        <f t="shared" si="11"/>
        <v>-1</v>
      </c>
      <c r="AS13" s="6">
        <f t="shared" si="12"/>
        <v>-1</v>
      </c>
      <c r="AT13" s="6">
        <f t="shared" si="13"/>
        <v>-1</v>
      </c>
      <c r="AU13" s="6">
        <f t="shared" si="14"/>
        <v>0</v>
      </c>
      <c r="AV13" s="6">
        <f t="shared" si="15"/>
        <v>-1</v>
      </c>
      <c r="AW13" s="6">
        <f t="shared" si="16"/>
        <v>0</v>
      </c>
      <c r="AX13" s="6">
        <f t="shared" si="17"/>
        <v>-1</v>
      </c>
      <c r="AY13" s="6">
        <f t="shared" si="18"/>
        <v>0</v>
      </c>
      <c r="AZ13" s="6">
        <f t="shared" si="19"/>
        <v>0</v>
      </c>
      <c r="BA13" s="6">
        <f t="shared" si="20"/>
        <v>-1</v>
      </c>
      <c r="BB13" s="6">
        <f t="shared" si="21"/>
        <v>-1</v>
      </c>
      <c r="BC13" s="6">
        <f t="shared" si="22"/>
        <v>0</v>
      </c>
      <c r="BD13" s="6">
        <f t="shared" si="23"/>
        <v>0</v>
      </c>
      <c r="BE13" s="6">
        <f t="shared" si="24"/>
        <v>0</v>
      </c>
      <c r="BF13" s="6">
        <f t="shared" si="25"/>
        <v>-1</v>
      </c>
      <c r="BG13" s="6">
        <f t="shared" si="26"/>
        <v>0</v>
      </c>
      <c r="BH13" s="6">
        <f t="shared" si="27"/>
        <v>0</v>
      </c>
      <c r="BI13" s="6">
        <f t="shared" si="28"/>
        <v>0</v>
      </c>
      <c r="BJ13" s="6">
        <f t="shared" si="29"/>
        <v>0</v>
      </c>
      <c r="BK13" s="6">
        <f t="shared" si="30"/>
        <v>-1</v>
      </c>
      <c r="BL13" s="6">
        <f t="shared" si="31"/>
        <v>0</v>
      </c>
      <c r="BM13" s="6">
        <f t="shared" si="32"/>
        <v>-9</v>
      </c>
    </row>
    <row r="14" spans="1:65" x14ac:dyDescent="0.25">
      <c r="A14" s="3">
        <v>8</v>
      </c>
      <c r="B14" s="8" t="s">
        <v>60</v>
      </c>
      <c r="C14" s="9"/>
      <c r="D14" s="191" t="s">
        <v>48</v>
      </c>
      <c r="E14" s="9" t="s">
        <v>52</v>
      </c>
      <c r="F14" s="9" t="s">
        <v>48</v>
      </c>
      <c r="G14" s="9" t="s">
        <v>48</v>
      </c>
      <c r="H14" s="9"/>
      <c r="I14" s="9"/>
      <c r="J14" s="9"/>
      <c r="K14" s="9" t="s">
        <v>48</v>
      </c>
      <c r="L14" s="9"/>
      <c r="M14" s="9" t="s">
        <v>299</v>
      </c>
      <c r="N14" s="9" t="s">
        <v>48</v>
      </c>
      <c r="O14" s="9" t="s">
        <v>48</v>
      </c>
      <c r="P14" s="9" t="s">
        <v>299</v>
      </c>
      <c r="Q14" s="9" t="s">
        <v>48</v>
      </c>
      <c r="R14" s="9" t="s">
        <v>48</v>
      </c>
      <c r="S14" s="9"/>
      <c r="T14" s="9"/>
      <c r="U14" s="9" t="s">
        <v>299</v>
      </c>
      <c r="V14" s="9" t="s">
        <v>48</v>
      </c>
      <c r="W14" s="9" t="s">
        <v>48</v>
      </c>
      <c r="X14" s="45" t="s">
        <v>48</v>
      </c>
      <c r="Y14" s="45" t="s">
        <v>299</v>
      </c>
      <c r="Z14" s="45" t="s">
        <v>48</v>
      </c>
      <c r="AA14" s="9"/>
      <c r="AB14" s="105">
        <f t="shared" si="0"/>
        <v>13</v>
      </c>
      <c r="AC14" s="101">
        <f t="shared" si="1"/>
        <v>0</v>
      </c>
      <c r="AD14" s="101">
        <f t="shared" si="2"/>
        <v>0</v>
      </c>
      <c r="AE14" s="101">
        <f t="shared" si="3"/>
        <v>-7</v>
      </c>
      <c r="AF14" s="101">
        <f t="shared" si="4"/>
        <v>1</v>
      </c>
      <c r="AG14" s="102">
        <f t="shared" si="5"/>
        <v>0</v>
      </c>
      <c r="AK14" s="195">
        <f t="shared" si="6"/>
        <v>12</v>
      </c>
      <c r="AN14" s="6">
        <f t="shared" si="7"/>
        <v>0</v>
      </c>
      <c r="AO14" s="6">
        <f t="shared" si="8"/>
        <v>0</v>
      </c>
      <c r="AP14" s="6">
        <f t="shared" si="9"/>
        <v>0</v>
      </c>
      <c r="AQ14" s="6">
        <f t="shared" si="10"/>
        <v>0</v>
      </c>
      <c r="AR14" s="6">
        <f t="shared" si="11"/>
        <v>-1</v>
      </c>
      <c r="AS14" s="6">
        <f t="shared" si="12"/>
        <v>0</v>
      </c>
      <c r="AT14" s="6">
        <f t="shared" si="13"/>
        <v>0</v>
      </c>
      <c r="AU14" s="6">
        <f t="shared" si="14"/>
        <v>0</v>
      </c>
      <c r="AV14" s="6">
        <f t="shared" si="15"/>
        <v>-1</v>
      </c>
      <c r="AW14" s="6">
        <f t="shared" si="16"/>
        <v>0</v>
      </c>
      <c r="AX14" s="6">
        <f t="shared" si="17"/>
        <v>0</v>
      </c>
      <c r="AY14" s="6">
        <f t="shared" si="18"/>
        <v>-1</v>
      </c>
      <c r="AZ14" s="6">
        <f t="shared" si="19"/>
        <v>-1</v>
      </c>
      <c r="BA14" s="6">
        <f t="shared" si="20"/>
        <v>0</v>
      </c>
      <c r="BB14" s="6">
        <f t="shared" si="21"/>
        <v>-1</v>
      </c>
      <c r="BC14" s="6">
        <f t="shared" si="22"/>
        <v>0</v>
      </c>
      <c r="BD14" s="6">
        <f t="shared" si="23"/>
        <v>0</v>
      </c>
      <c r="BE14" s="6">
        <f t="shared" si="24"/>
        <v>0</v>
      </c>
      <c r="BF14" s="6">
        <f t="shared" si="25"/>
        <v>0</v>
      </c>
      <c r="BG14" s="6">
        <f t="shared" si="26"/>
        <v>0</v>
      </c>
      <c r="BH14" s="6">
        <f t="shared" si="27"/>
        <v>0</v>
      </c>
      <c r="BI14" s="6">
        <f t="shared" si="28"/>
        <v>-1</v>
      </c>
      <c r="BJ14" s="6">
        <f t="shared" si="29"/>
        <v>0</v>
      </c>
      <c r="BK14" s="6">
        <f t="shared" si="30"/>
        <v>-1</v>
      </c>
      <c r="BL14" s="6">
        <f t="shared" si="31"/>
        <v>0</v>
      </c>
      <c r="BM14" s="6">
        <f t="shared" si="32"/>
        <v>-7</v>
      </c>
    </row>
    <row r="15" spans="1:65" x14ac:dyDescent="0.25">
      <c r="A15" s="3">
        <v>9</v>
      </c>
      <c r="B15" s="8" t="s">
        <v>49</v>
      </c>
      <c r="C15" s="9" t="s">
        <v>48</v>
      </c>
      <c r="D15" s="191"/>
      <c r="E15" s="9"/>
      <c r="F15" s="9"/>
      <c r="G15" s="9" t="s">
        <v>48</v>
      </c>
      <c r="H15" s="9" t="s">
        <v>48</v>
      </c>
      <c r="I15" s="9" t="s">
        <v>299</v>
      </c>
      <c r="J15" s="9" t="s">
        <v>48</v>
      </c>
      <c r="K15" s="9" t="s">
        <v>48</v>
      </c>
      <c r="L15" s="9" t="s">
        <v>48</v>
      </c>
      <c r="M15" s="9" t="s">
        <v>299</v>
      </c>
      <c r="N15" s="9" t="s">
        <v>48</v>
      </c>
      <c r="O15" s="9" t="s">
        <v>299</v>
      </c>
      <c r="P15" s="9" t="s">
        <v>48</v>
      </c>
      <c r="Q15" s="9"/>
      <c r="R15" s="9" t="s">
        <v>48</v>
      </c>
      <c r="S15" s="9"/>
      <c r="T15" s="9"/>
      <c r="U15" s="9" t="s">
        <v>48</v>
      </c>
      <c r="V15" s="9"/>
      <c r="W15" s="9" t="s">
        <v>48</v>
      </c>
      <c r="X15" s="45" t="s">
        <v>299</v>
      </c>
      <c r="Y15" s="45" t="s">
        <v>48</v>
      </c>
      <c r="Z15" s="45"/>
      <c r="AA15" s="9"/>
      <c r="AB15" s="105">
        <f t="shared" si="0"/>
        <v>12</v>
      </c>
      <c r="AC15" s="101">
        <f t="shared" si="1"/>
        <v>0</v>
      </c>
      <c r="AD15" s="101">
        <f t="shared" si="2"/>
        <v>0</v>
      </c>
      <c r="AE15" s="101">
        <f t="shared" si="3"/>
        <v>-9</v>
      </c>
      <c r="AF15" s="101">
        <f t="shared" si="4"/>
        <v>0</v>
      </c>
      <c r="AG15" s="102">
        <f t="shared" si="5"/>
        <v>0</v>
      </c>
      <c r="AH15" s="6"/>
      <c r="AI15" s="6"/>
      <c r="AK15" s="195">
        <f t="shared" si="6"/>
        <v>12</v>
      </c>
      <c r="AN15" s="6">
        <f t="shared" si="7"/>
        <v>-1</v>
      </c>
      <c r="AO15" s="6">
        <f t="shared" si="8"/>
        <v>0</v>
      </c>
      <c r="AP15" s="6">
        <f t="shared" si="9"/>
        <v>0</v>
      </c>
      <c r="AQ15" s="6">
        <f t="shared" si="10"/>
        <v>0</v>
      </c>
      <c r="AR15" s="6">
        <f t="shared" si="11"/>
        <v>-1</v>
      </c>
      <c r="AS15" s="6">
        <f t="shared" si="12"/>
        <v>-1</v>
      </c>
      <c r="AT15" s="6">
        <f t="shared" si="13"/>
        <v>0</v>
      </c>
      <c r="AU15" s="6">
        <f t="shared" si="14"/>
        <v>-1</v>
      </c>
      <c r="AV15" s="6">
        <f t="shared" si="15"/>
        <v>-1</v>
      </c>
      <c r="AW15" s="6">
        <f t="shared" si="16"/>
        <v>0</v>
      </c>
      <c r="AX15" s="6">
        <f t="shared" si="17"/>
        <v>0</v>
      </c>
      <c r="AY15" s="6">
        <f t="shared" si="18"/>
        <v>-1</v>
      </c>
      <c r="AZ15" s="6">
        <f t="shared" si="19"/>
        <v>0</v>
      </c>
      <c r="BA15" s="6">
        <f t="shared" si="20"/>
        <v>-1</v>
      </c>
      <c r="BB15" s="6">
        <f t="shared" si="21"/>
        <v>0</v>
      </c>
      <c r="BC15" s="6">
        <f t="shared" si="22"/>
        <v>0</v>
      </c>
      <c r="BD15" s="6">
        <f t="shared" si="23"/>
        <v>0</v>
      </c>
      <c r="BE15" s="6">
        <f t="shared" si="24"/>
        <v>0</v>
      </c>
      <c r="BF15" s="6">
        <f t="shared" si="25"/>
        <v>-1</v>
      </c>
      <c r="BG15" s="6">
        <f t="shared" si="26"/>
        <v>0</v>
      </c>
      <c r="BH15" s="6">
        <f t="shared" si="27"/>
        <v>0</v>
      </c>
      <c r="BI15" s="6">
        <f t="shared" si="28"/>
        <v>0</v>
      </c>
      <c r="BJ15" s="6">
        <f t="shared" si="29"/>
        <v>-1</v>
      </c>
      <c r="BK15" s="6">
        <f t="shared" si="30"/>
        <v>0</v>
      </c>
      <c r="BL15" s="6">
        <f t="shared" si="31"/>
        <v>0</v>
      </c>
      <c r="BM15" s="6">
        <f t="shared" si="32"/>
        <v>-9</v>
      </c>
    </row>
    <row r="16" spans="1:65" x14ac:dyDescent="0.25">
      <c r="A16" s="3">
        <v>10</v>
      </c>
      <c r="B16" s="8" t="s">
        <v>59</v>
      </c>
      <c r="C16" s="9" t="s">
        <v>48</v>
      </c>
      <c r="D16" s="191"/>
      <c r="E16" s="9" t="s">
        <v>299</v>
      </c>
      <c r="F16" s="9" t="s">
        <v>48</v>
      </c>
      <c r="G16" s="9" t="s">
        <v>48</v>
      </c>
      <c r="H16" s="9" t="s">
        <v>48</v>
      </c>
      <c r="I16" s="9" t="s">
        <v>299</v>
      </c>
      <c r="J16" s="9"/>
      <c r="K16" s="9" t="s">
        <v>48</v>
      </c>
      <c r="L16" s="9" t="s">
        <v>48</v>
      </c>
      <c r="M16" s="9" t="s">
        <v>48</v>
      </c>
      <c r="N16" s="9"/>
      <c r="O16" s="9" t="s">
        <v>48</v>
      </c>
      <c r="P16" s="9" t="s">
        <v>48</v>
      </c>
      <c r="Q16" s="9"/>
      <c r="R16" s="9" t="s">
        <v>48</v>
      </c>
      <c r="S16" s="9"/>
      <c r="T16" s="9"/>
      <c r="U16" s="9" t="s">
        <v>299</v>
      </c>
      <c r="V16" s="9"/>
      <c r="W16" s="9"/>
      <c r="X16" s="45" t="s">
        <v>48</v>
      </c>
      <c r="Y16" s="45"/>
      <c r="Z16" s="45" t="s">
        <v>48</v>
      </c>
      <c r="AA16" s="9"/>
      <c r="AB16" s="105">
        <f t="shared" si="0"/>
        <v>12</v>
      </c>
      <c r="AC16" s="101">
        <f t="shared" si="1"/>
        <v>0</v>
      </c>
      <c r="AD16" s="101">
        <f t="shared" si="2"/>
        <v>0</v>
      </c>
      <c r="AE16" s="101">
        <f t="shared" si="3"/>
        <v>-9</v>
      </c>
      <c r="AF16" s="101">
        <f t="shared" si="4"/>
        <v>0</v>
      </c>
      <c r="AG16" s="102">
        <f t="shared" si="5"/>
        <v>0</v>
      </c>
      <c r="AH16" s="6"/>
      <c r="AI16" s="6"/>
      <c r="AK16" s="195">
        <f t="shared" si="6"/>
        <v>12</v>
      </c>
      <c r="AN16" s="6">
        <f t="shared" si="7"/>
        <v>-1</v>
      </c>
      <c r="AO16" s="6">
        <f t="shared" si="8"/>
        <v>0</v>
      </c>
      <c r="AP16" s="6">
        <f t="shared" si="9"/>
        <v>0</v>
      </c>
      <c r="AQ16" s="6">
        <f t="shared" si="10"/>
        <v>0</v>
      </c>
      <c r="AR16" s="6">
        <f t="shared" si="11"/>
        <v>-1</v>
      </c>
      <c r="AS16" s="6">
        <f t="shared" si="12"/>
        <v>-1</v>
      </c>
      <c r="AT16" s="6">
        <f t="shared" si="13"/>
        <v>0</v>
      </c>
      <c r="AU16" s="6">
        <f t="shared" si="14"/>
        <v>0</v>
      </c>
      <c r="AV16" s="6">
        <f t="shared" si="15"/>
        <v>-1</v>
      </c>
      <c r="AW16" s="6">
        <f t="shared" si="16"/>
        <v>0</v>
      </c>
      <c r="AX16" s="6">
        <f t="shared" si="17"/>
        <v>-1</v>
      </c>
      <c r="AY16" s="6">
        <f t="shared" si="18"/>
        <v>0</v>
      </c>
      <c r="AZ16" s="6">
        <f t="shared" si="19"/>
        <v>-1</v>
      </c>
      <c r="BA16" s="6">
        <f t="shared" si="20"/>
        <v>-1</v>
      </c>
      <c r="BB16" s="6">
        <f t="shared" si="21"/>
        <v>0</v>
      </c>
      <c r="BC16" s="6">
        <f t="shared" si="22"/>
        <v>0</v>
      </c>
      <c r="BD16" s="6">
        <f t="shared" si="23"/>
        <v>0</v>
      </c>
      <c r="BE16" s="6">
        <f t="shared" si="24"/>
        <v>0</v>
      </c>
      <c r="BF16" s="6">
        <f t="shared" si="25"/>
        <v>0</v>
      </c>
      <c r="BG16" s="6">
        <f t="shared" si="26"/>
        <v>0</v>
      </c>
      <c r="BH16" s="6">
        <f t="shared" si="27"/>
        <v>0</v>
      </c>
      <c r="BI16" s="6">
        <f t="shared" si="28"/>
        <v>-1</v>
      </c>
      <c r="BJ16" s="6">
        <f t="shared" si="29"/>
        <v>0</v>
      </c>
      <c r="BK16" s="6">
        <f t="shared" si="30"/>
        <v>-1</v>
      </c>
      <c r="BL16" s="6">
        <f t="shared" si="31"/>
        <v>0</v>
      </c>
      <c r="BM16" s="6">
        <f t="shared" si="32"/>
        <v>-9</v>
      </c>
    </row>
    <row r="17" spans="1:65" x14ac:dyDescent="0.25">
      <c r="A17" s="3">
        <v>11</v>
      </c>
      <c r="B17" s="8" t="s">
        <v>51</v>
      </c>
      <c r="C17" s="9" t="s">
        <v>48</v>
      </c>
      <c r="D17" s="191" t="s">
        <v>299</v>
      </c>
      <c r="E17" s="9" t="s">
        <v>299</v>
      </c>
      <c r="F17" s="9"/>
      <c r="G17" s="9"/>
      <c r="H17" s="9"/>
      <c r="I17" s="9"/>
      <c r="J17" s="9" t="s">
        <v>48</v>
      </c>
      <c r="K17" s="9"/>
      <c r="L17" s="9"/>
      <c r="M17" s="9" t="s">
        <v>52</v>
      </c>
      <c r="N17" s="9" t="s">
        <v>48</v>
      </c>
      <c r="O17" s="9" t="s">
        <v>299</v>
      </c>
      <c r="P17" s="9" t="s">
        <v>48</v>
      </c>
      <c r="Q17" s="9" t="s">
        <v>48</v>
      </c>
      <c r="R17" s="9" t="s">
        <v>48</v>
      </c>
      <c r="S17" s="9"/>
      <c r="T17" s="9" t="s">
        <v>48</v>
      </c>
      <c r="U17" s="9" t="s">
        <v>48</v>
      </c>
      <c r="V17" s="9" t="s">
        <v>48</v>
      </c>
      <c r="W17" s="9" t="s">
        <v>48</v>
      </c>
      <c r="X17" s="45"/>
      <c r="Y17" s="45" t="s">
        <v>299</v>
      </c>
      <c r="Z17" s="45"/>
      <c r="AA17" s="9"/>
      <c r="AB17" s="105">
        <f t="shared" si="0"/>
        <v>11</v>
      </c>
      <c r="AC17" s="101">
        <f t="shared" si="1"/>
        <v>0</v>
      </c>
      <c r="AD17" s="101">
        <f t="shared" si="2"/>
        <v>0</v>
      </c>
      <c r="AE17" s="101">
        <f t="shared" si="3"/>
        <v>-6</v>
      </c>
      <c r="AF17" s="101">
        <f t="shared" si="4"/>
        <v>1</v>
      </c>
      <c r="AG17" s="102">
        <f t="shared" si="5"/>
        <v>0</v>
      </c>
      <c r="AK17" s="195">
        <f t="shared" si="6"/>
        <v>10</v>
      </c>
      <c r="AN17" s="6">
        <f t="shared" si="7"/>
        <v>-1</v>
      </c>
      <c r="AO17" s="6">
        <f t="shared" si="8"/>
        <v>0</v>
      </c>
      <c r="AP17" s="6">
        <f t="shared" si="9"/>
        <v>0</v>
      </c>
      <c r="AQ17" s="6">
        <f t="shared" si="10"/>
        <v>0</v>
      </c>
      <c r="AR17" s="6">
        <f t="shared" si="11"/>
        <v>0</v>
      </c>
      <c r="AS17" s="6">
        <f t="shared" si="12"/>
        <v>0</v>
      </c>
      <c r="AT17" s="6">
        <f t="shared" si="13"/>
        <v>0</v>
      </c>
      <c r="AU17" s="6">
        <f t="shared" si="14"/>
        <v>-1</v>
      </c>
      <c r="AV17" s="6">
        <f t="shared" si="15"/>
        <v>0</v>
      </c>
      <c r="AW17" s="6">
        <f t="shared" si="16"/>
        <v>0</v>
      </c>
      <c r="AX17" s="6">
        <f t="shared" si="17"/>
        <v>0</v>
      </c>
      <c r="AY17" s="6">
        <f t="shared" si="18"/>
        <v>-1</v>
      </c>
      <c r="AZ17" s="6">
        <f t="shared" si="19"/>
        <v>0</v>
      </c>
      <c r="BA17" s="6">
        <f t="shared" si="20"/>
        <v>-1</v>
      </c>
      <c r="BB17" s="6">
        <f t="shared" si="21"/>
        <v>-1</v>
      </c>
      <c r="BC17" s="6">
        <f t="shared" si="22"/>
        <v>0</v>
      </c>
      <c r="BD17" s="6">
        <f t="shared" si="23"/>
        <v>0</v>
      </c>
      <c r="BE17" s="6">
        <f t="shared" si="24"/>
        <v>0</v>
      </c>
      <c r="BF17" s="6">
        <f t="shared" si="25"/>
        <v>-1</v>
      </c>
      <c r="BG17" s="6">
        <f t="shared" si="26"/>
        <v>0</v>
      </c>
      <c r="BH17" s="6">
        <f t="shared" si="27"/>
        <v>0</v>
      </c>
      <c r="BI17" s="6">
        <f t="shared" si="28"/>
        <v>0</v>
      </c>
      <c r="BJ17" s="6">
        <f t="shared" si="29"/>
        <v>0</v>
      </c>
      <c r="BK17" s="6">
        <f t="shared" si="30"/>
        <v>0</v>
      </c>
      <c r="BL17" s="6">
        <f t="shared" si="31"/>
        <v>0</v>
      </c>
      <c r="BM17" s="6">
        <f t="shared" si="32"/>
        <v>-6</v>
      </c>
    </row>
    <row r="18" spans="1:65" x14ac:dyDescent="0.25">
      <c r="A18" s="3">
        <v>12</v>
      </c>
      <c r="B18" s="8" t="s">
        <v>55</v>
      </c>
      <c r="C18" s="9" t="s">
        <v>52</v>
      </c>
      <c r="D18" s="191"/>
      <c r="E18" s="9"/>
      <c r="F18" s="9"/>
      <c r="G18" s="9" t="s">
        <v>48</v>
      </c>
      <c r="H18" s="9" t="s">
        <v>48</v>
      </c>
      <c r="I18" s="9" t="s">
        <v>48</v>
      </c>
      <c r="J18" s="9" t="s">
        <v>48</v>
      </c>
      <c r="K18" s="9"/>
      <c r="L18" s="9"/>
      <c r="M18" s="9" t="s">
        <v>299</v>
      </c>
      <c r="N18" s="9" t="s">
        <v>48</v>
      </c>
      <c r="O18" s="9" t="s">
        <v>299</v>
      </c>
      <c r="P18" s="9" t="s">
        <v>299</v>
      </c>
      <c r="Q18" s="9" t="s">
        <v>48</v>
      </c>
      <c r="R18" s="9" t="s">
        <v>48</v>
      </c>
      <c r="S18" s="9"/>
      <c r="T18" s="9"/>
      <c r="U18" s="9" t="s">
        <v>48</v>
      </c>
      <c r="V18" s="9"/>
      <c r="W18" s="9"/>
      <c r="X18" s="45"/>
      <c r="Y18" s="45" t="s">
        <v>299</v>
      </c>
      <c r="Z18" s="45" t="s">
        <v>48</v>
      </c>
      <c r="AA18" s="9"/>
      <c r="AB18" s="105">
        <f t="shared" si="0"/>
        <v>10</v>
      </c>
      <c r="AC18" s="101">
        <f t="shared" si="1"/>
        <v>0</v>
      </c>
      <c r="AD18" s="101">
        <f t="shared" si="2"/>
        <v>0</v>
      </c>
      <c r="AE18" s="101">
        <f t="shared" si="3"/>
        <v>-8</v>
      </c>
      <c r="AF18" s="101">
        <f t="shared" si="4"/>
        <v>1</v>
      </c>
      <c r="AG18" s="102">
        <f t="shared" si="5"/>
        <v>0</v>
      </c>
      <c r="AH18" s="6"/>
      <c r="AI18" s="6"/>
      <c r="AK18" s="195">
        <f t="shared" si="6"/>
        <v>9</v>
      </c>
      <c r="AN18" s="6">
        <f t="shared" si="7"/>
        <v>0</v>
      </c>
      <c r="AO18" s="6">
        <f t="shared" si="8"/>
        <v>0</v>
      </c>
      <c r="AP18" s="6">
        <f t="shared" si="9"/>
        <v>0</v>
      </c>
      <c r="AQ18" s="6">
        <f t="shared" si="10"/>
        <v>0</v>
      </c>
      <c r="AR18" s="6">
        <f t="shared" si="11"/>
        <v>-1</v>
      </c>
      <c r="AS18" s="6">
        <f t="shared" si="12"/>
        <v>-1</v>
      </c>
      <c r="AT18" s="6">
        <f t="shared" si="13"/>
        <v>-1</v>
      </c>
      <c r="AU18" s="6">
        <f t="shared" si="14"/>
        <v>-1</v>
      </c>
      <c r="AV18" s="6">
        <f t="shared" si="15"/>
        <v>0</v>
      </c>
      <c r="AW18" s="6">
        <f t="shared" si="16"/>
        <v>0</v>
      </c>
      <c r="AX18" s="6">
        <f t="shared" si="17"/>
        <v>0</v>
      </c>
      <c r="AY18" s="6">
        <f t="shared" si="18"/>
        <v>-1</v>
      </c>
      <c r="AZ18" s="6">
        <f t="shared" si="19"/>
        <v>0</v>
      </c>
      <c r="BA18" s="6">
        <f t="shared" si="20"/>
        <v>0</v>
      </c>
      <c r="BB18" s="6">
        <f t="shared" si="21"/>
        <v>-1</v>
      </c>
      <c r="BC18" s="6">
        <f t="shared" si="22"/>
        <v>0</v>
      </c>
      <c r="BD18" s="6">
        <f t="shared" si="23"/>
        <v>0</v>
      </c>
      <c r="BE18" s="6">
        <f t="shared" si="24"/>
        <v>0</v>
      </c>
      <c r="BF18" s="6">
        <f t="shared" si="25"/>
        <v>-1</v>
      </c>
      <c r="BG18" s="6">
        <f t="shared" si="26"/>
        <v>0</v>
      </c>
      <c r="BH18" s="6">
        <f t="shared" si="27"/>
        <v>0</v>
      </c>
      <c r="BI18" s="6">
        <f t="shared" si="28"/>
        <v>0</v>
      </c>
      <c r="BJ18" s="6">
        <f t="shared" si="29"/>
        <v>0</v>
      </c>
      <c r="BK18" s="6">
        <f t="shared" si="30"/>
        <v>-1</v>
      </c>
      <c r="BL18" s="6">
        <f t="shared" si="31"/>
        <v>0</v>
      </c>
      <c r="BM18" s="6">
        <f t="shared" si="32"/>
        <v>-8</v>
      </c>
    </row>
    <row r="19" spans="1:65" x14ac:dyDescent="0.25">
      <c r="A19" s="3">
        <v>13</v>
      </c>
      <c r="B19" s="8" t="s">
        <v>76</v>
      </c>
      <c r="C19" s="9"/>
      <c r="D19" s="191"/>
      <c r="E19" s="9" t="s">
        <v>299</v>
      </c>
      <c r="F19" s="9" t="s">
        <v>48</v>
      </c>
      <c r="G19" s="9"/>
      <c r="H19" s="9"/>
      <c r="I19" s="9" t="s">
        <v>48</v>
      </c>
      <c r="J19" s="9" t="s">
        <v>48</v>
      </c>
      <c r="K19" s="9" t="s">
        <v>48</v>
      </c>
      <c r="L19" s="9" t="s">
        <v>299</v>
      </c>
      <c r="M19" s="9"/>
      <c r="N19" s="9"/>
      <c r="O19" s="9" t="s">
        <v>48</v>
      </c>
      <c r="P19" s="9" t="s">
        <v>48</v>
      </c>
      <c r="Q19" s="9" t="s">
        <v>299</v>
      </c>
      <c r="R19" s="9"/>
      <c r="S19" s="9"/>
      <c r="T19" s="9"/>
      <c r="U19" s="9" t="s">
        <v>48</v>
      </c>
      <c r="V19" s="9" t="s">
        <v>48</v>
      </c>
      <c r="W19" s="9" t="s">
        <v>48</v>
      </c>
      <c r="X19" s="45"/>
      <c r="Y19" s="45"/>
      <c r="Z19" s="45"/>
      <c r="AA19" s="9"/>
      <c r="AB19" s="105">
        <f t="shared" si="0"/>
        <v>9</v>
      </c>
      <c r="AC19" s="101">
        <f t="shared" si="1"/>
        <v>0</v>
      </c>
      <c r="AD19" s="101">
        <f t="shared" si="2"/>
        <v>0</v>
      </c>
      <c r="AE19" s="101">
        <f t="shared" si="3"/>
        <v>-6</v>
      </c>
      <c r="AF19" s="101">
        <f t="shared" si="4"/>
        <v>0</v>
      </c>
      <c r="AG19" s="102">
        <f t="shared" si="5"/>
        <v>0</v>
      </c>
      <c r="AH19" s="6" t="s">
        <v>69</v>
      </c>
      <c r="AI19" s="6"/>
      <c r="AK19" s="195">
        <f t="shared" si="6"/>
        <v>9</v>
      </c>
      <c r="AN19" s="6">
        <f t="shared" si="7"/>
        <v>0</v>
      </c>
      <c r="AO19" s="6">
        <f t="shared" si="8"/>
        <v>0</v>
      </c>
      <c r="AP19" s="6">
        <f t="shared" si="9"/>
        <v>0</v>
      </c>
      <c r="AQ19" s="6">
        <f t="shared" si="10"/>
        <v>0</v>
      </c>
      <c r="AR19" s="6">
        <f t="shared" si="11"/>
        <v>0</v>
      </c>
      <c r="AS19" s="6">
        <f t="shared" si="12"/>
        <v>0</v>
      </c>
      <c r="AT19" s="6">
        <f t="shared" si="13"/>
        <v>-1</v>
      </c>
      <c r="AU19" s="6">
        <f t="shared" si="14"/>
        <v>-1</v>
      </c>
      <c r="AV19" s="6">
        <f t="shared" si="15"/>
        <v>-1</v>
      </c>
      <c r="AW19" s="6">
        <f t="shared" si="16"/>
        <v>0</v>
      </c>
      <c r="AX19" s="6">
        <f t="shared" si="17"/>
        <v>0</v>
      </c>
      <c r="AY19" s="6">
        <f t="shared" si="18"/>
        <v>0</v>
      </c>
      <c r="AZ19" s="6">
        <f t="shared" si="19"/>
        <v>-1</v>
      </c>
      <c r="BA19" s="6">
        <f t="shared" si="20"/>
        <v>-1</v>
      </c>
      <c r="BB19" s="6">
        <f t="shared" si="21"/>
        <v>0</v>
      </c>
      <c r="BC19" s="6">
        <f t="shared" si="22"/>
        <v>0</v>
      </c>
      <c r="BD19" s="6">
        <f t="shared" si="23"/>
        <v>0</v>
      </c>
      <c r="BE19" s="6">
        <f t="shared" si="24"/>
        <v>0</v>
      </c>
      <c r="BF19" s="6">
        <f t="shared" si="25"/>
        <v>-1</v>
      </c>
      <c r="BG19" s="6">
        <f t="shared" si="26"/>
        <v>0</v>
      </c>
      <c r="BH19" s="6">
        <f t="shared" si="27"/>
        <v>0</v>
      </c>
      <c r="BI19" s="6">
        <f t="shared" si="28"/>
        <v>0</v>
      </c>
      <c r="BJ19" s="6">
        <f t="shared" si="29"/>
        <v>0</v>
      </c>
      <c r="BK19" s="6">
        <f t="shared" si="30"/>
        <v>0</v>
      </c>
      <c r="BL19" s="6">
        <f t="shared" si="31"/>
        <v>0</v>
      </c>
      <c r="BM19" s="6">
        <f t="shared" si="32"/>
        <v>-6</v>
      </c>
    </row>
    <row r="20" spans="1:65" x14ac:dyDescent="0.25">
      <c r="A20" s="3">
        <v>14</v>
      </c>
      <c r="B20" s="8" t="s">
        <v>53</v>
      </c>
      <c r="C20" s="9"/>
      <c r="D20" s="191"/>
      <c r="E20" s="9"/>
      <c r="F20" s="9" t="s">
        <v>48</v>
      </c>
      <c r="G20" s="9"/>
      <c r="H20" s="9"/>
      <c r="I20" s="9" t="s">
        <v>299</v>
      </c>
      <c r="J20" s="9" t="s">
        <v>48</v>
      </c>
      <c r="K20" s="9"/>
      <c r="L20" s="9" t="s">
        <v>48</v>
      </c>
      <c r="M20" s="9" t="s">
        <v>299</v>
      </c>
      <c r="N20" s="9" t="s">
        <v>48</v>
      </c>
      <c r="O20" s="9" t="s">
        <v>48</v>
      </c>
      <c r="P20" s="9"/>
      <c r="Q20" s="9" t="s">
        <v>299</v>
      </c>
      <c r="R20" s="9"/>
      <c r="S20" s="9"/>
      <c r="T20" s="9" t="s">
        <v>48</v>
      </c>
      <c r="U20" s="9"/>
      <c r="V20" s="9" t="s">
        <v>48</v>
      </c>
      <c r="W20" s="9" t="s">
        <v>48</v>
      </c>
      <c r="X20" s="45"/>
      <c r="Y20" s="45" t="s">
        <v>48</v>
      </c>
      <c r="Z20" s="45"/>
      <c r="AA20" s="9"/>
      <c r="AB20" s="105">
        <f t="shared" si="0"/>
        <v>9</v>
      </c>
      <c r="AC20" s="101">
        <f t="shared" si="1"/>
        <v>0</v>
      </c>
      <c r="AD20" s="101">
        <f t="shared" si="2"/>
        <v>0</v>
      </c>
      <c r="AE20" s="101">
        <f t="shared" si="3"/>
        <v>-4</v>
      </c>
      <c r="AF20" s="101">
        <f t="shared" si="4"/>
        <v>0</v>
      </c>
      <c r="AG20" s="102">
        <f t="shared" si="5"/>
        <v>0</v>
      </c>
      <c r="AK20" s="195">
        <f t="shared" si="6"/>
        <v>9</v>
      </c>
      <c r="AN20" s="6">
        <f t="shared" si="7"/>
        <v>0</v>
      </c>
      <c r="AO20" s="6">
        <f t="shared" si="8"/>
        <v>0</v>
      </c>
      <c r="AP20" s="6">
        <f t="shared" si="9"/>
        <v>0</v>
      </c>
      <c r="AQ20" s="6">
        <f t="shared" si="10"/>
        <v>0</v>
      </c>
      <c r="AR20" s="6">
        <f t="shared" si="11"/>
        <v>0</v>
      </c>
      <c r="AS20" s="6">
        <f t="shared" si="12"/>
        <v>0</v>
      </c>
      <c r="AT20" s="6">
        <f t="shared" si="13"/>
        <v>0</v>
      </c>
      <c r="AU20" s="6">
        <f t="shared" si="14"/>
        <v>-1</v>
      </c>
      <c r="AV20" s="6">
        <f t="shared" si="15"/>
        <v>0</v>
      </c>
      <c r="AW20" s="6">
        <f t="shared" si="16"/>
        <v>0</v>
      </c>
      <c r="AX20" s="6">
        <f t="shared" si="17"/>
        <v>0</v>
      </c>
      <c r="AY20" s="6">
        <f t="shared" si="18"/>
        <v>-1</v>
      </c>
      <c r="AZ20" s="6">
        <f t="shared" si="19"/>
        <v>-1</v>
      </c>
      <c r="BA20" s="6">
        <f t="shared" si="20"/>
        <v>0</v>
      </c>
      <c r="BB20" s="6">
        <f t="shared" si="21"/>
        <v>0</v>
      </c>
      <c r="BC20" s="6">
        <f t="shared" si="22"/>
        <v>0</v>
      </c>
      <c r="BD20" s="6">
        <f t="shared" si="23"/>
        <v>0</v>
      </c>
      <c r="BE20" s="6">
        <f t="shared" si="24"/>
        <v>0</v>
      </c>
      <c r="BF20" s="6">
        <f t="shared" si="25"/>
        <v>0</v>
      </c>
      <c r="BG20" s="6">
        <f t="shared" si="26"/>
        <v>0</v>
      </c>
      <c r="BH20" s="6">
        <f t="shared" si="27"/>
        <v>0</v>
      </c>
      <c r="BI20" s="6">
        <f t="shared" si="28"/>
        <v>0</v>
      </c>
      <c r="BJ20" s="6">
        <f t="shared" si="29"/>
        <v>-1</v>
      </c>
      <c r="BK20" s="6">
        <f t="shared" si="30"/>
        <v>0</v>
      </c>
      <c r="BL20" s="6">
        <f t="shared" si="31"/>
        <v>0</v>
      </c>
      <c r="BM20" s="6">
        <f t="shared" si="32"/>
        <v>-4</v>
      </c>
    </row>
    <row r="21" spans="1:65" x14ac:dyDescent="0.25">
      <c r="A21" s="3">
        <v>15</v>
      </c>
      <c r="B21" s="8" t="s">
        <v>80</v>
      </c>
      <c r="C21" s="9"/>
      <c r="D21" s="191" t="s">
        <v>48</v>
      </c>
      <c r="E21" s="9" t="s">
        <v>48</v>
      </c>
      <c r="F21" s="9" t="s">
        <v>48</v>
      </c>
      <c r="G21" s="9"/>
      <c r="H21" s="9"/>
      <c r="I21" s="9"/>
      <c r="J21" s="9" t="s">
        <v>48</v>
      </c>
      <c r="K21" s="9"/>
      <c r="L21" s="9" t="s">
        <v>48</v>
      </c>
      <c r="M21" s="9"/>
      <c r="N21" s="9"/>
      <c r="O21" s="9"/>
      <c r="P21" s="9"/>
      <c r="Q21" s="9" t="s">
        <v>299</v>
      </c>
      <c r="R21" s="9"/>
      <c r="S21" s="9"/>
      <c r="T21" s="9" t="s">
        <v>48</v>
      </c>
      <c r="U21" s="9"/>
      <c r="V21" s="9"/>
      <c r="W21" s="9" t="s">
        <v>48</v>
      </c>
      <c r="X21" s="45"/>
      <c r="Y21" s="45" t="s">
        <v>48</v>
      </c>
      <c r="Z21" s="45" t="s">
        <v>48</v>
      </c>
      <c r="AA21" s="9"/>
      <c r="AB21" s="105">
        <f t="shared" si="0"/>
        <v>9</v>
      </c>
      <c r="AC21" s="101">
        <f t="shared" si="1"/>
        <v>0</v>
      </c>
      <c r="AD21" s="101">
        <f t="shared" si="2"/>
        <v>0</v>
      </c>
      <c r="AE21" s="101">
        <f t="shared" si="3"/>
        <v>-4</v>
      </c>
      <c r="AF21" s="101">
        <f t="shared" si="4"/>
        <v>0</v>
      </c>
      <c r="AG21" s="102">
        <f t="shared" si="5"/>
        <v>0</v>
      </c>
      <c r="AK21" s="195">
        <f t="shared" si="6"/>
        <v>9</v>
      </c>
      <c r="AN21" s="6">
        <f t="shared" si="7"/>
        <v>0</v>
      </c>
      <c r="AO21" s="6">
        <f t="shared" si="8"/>
        <v>0</v>
      </c>
      <c r="AP21" s="6">
        <f t="shared" si="9"/>
        <v>-1</v>
      </c>
      <c r="AQ21" s="6">
        <f t="shared" si="10"/>
        <v>0</v>
      </c>
      <c r="AR21" s="6">
        <f t="shared" si="11"/>
        <v>0</v>
      </c>
      <c r="AS21" s="6">
        <f t="shared" si="12"/>
        <v>0</v>
      </c>
      <c r="AT21" s="6">
        <f t="shared" si="13"/>
        <v>0</v>
      </c>
      <c r="AU21" s="6">
        <f t="shared" si="14"/>
        <v>-1</v>
      </c>
      <c r="AV21" s="6">
        <f t="shared" si="15"/>
        <v>0</v>
      </c>
      <c r="AW21" s="6">
        <f t="shared" si="16"/>
        <v>0</v>
      </c>
      <c r="AX21" s="6">
        <f t="shared" si="17"/>
        <v>0</v>
      </c>
      <c r="AY21" s="6">
        <f t="shared" si="18"/>
        <v>0</v>
      </c>
      <c r="AZ21" s="6">
        <f t="shared" si="19"/>
        <v>0</v>
      </c>
      <c r="BA21" s="6">
        <f t="shared" si="20"/>
        <v>0</v>
      </c>
      <c r="BB21" s="6">
        <f t="shared" si="21"/>
        <v>0</v>
      </c>
      <c r="BC21" s="6">
        <f t="shared" si="22"/>
        <v>0</v>
      </c>
      <c r="BD21" s="6">
        <f t="shared" si="23"/>
        <v>0</v>
      </c>
      <c r="BE21" s="6">
        <f t="shared" si="24"/>
        <v>0</v>
      </c>
      <c r="BF21" s="6">
        <f t="shared" si="25"/>
        <v>0</v>
      </c>
      <c r="BG21" s="6">
        <f t="shared" si="26"/>
        <v>0</v>
      </c>
      <c r="BH21" s="6">
        <f t="shared" si="27"/>
        <v>0</v>
      </c>
      <c r="BI21" s="6">
        <f t="shared" si="28"/>
        <v>0</v>
      </c>
      <c r="BJ21" s="6">
        <f t="shared" si="29"/>
        <v>-1</v>
      </c>
      <c r="BK21" s="6">
        <f t="shared" si="30"/>
        <v>-1</v>
      </c>
      <c r="BL21" s="6">
        <f t="shared" si="31"/>
        <v>0</v>
      </c>
      <c r="BM21" s="6">
        <f t="shared" si="32"/>
        <v>-4</v>
      </c>
    </row>
    <row r="22" spans="1:65" x14ac:dyDescent="0.25">
      <c r="A22" s="3">
        <v>16</v>
      </c>
      <c r="B22" s="8" t="s">
        <v>54</v>
      </c>
      <c r="C22" s="9" t="s">
        <v>48</v>
      </c>
      <c r="D22" s="191"/>
      <c r="E22" s="9"/>
      <c r="F22" s="9"/>
      <c r="G22" s="9"/>
      <c r="H22" s="9" t="s">
        <v>48</v>
      </c>
      <c r="I22" s="9" t="s">
        <v>299</v>
      </c>
      <c r="J22" s="9" t="s">
        <v>48</v>
      </c>
      <c r="K22" s="9" t="s">
        <v>48</v>
      </c>
      <c r="L22" s="9"/>
      <c r="M22" s="9"/>
      <c r="N22" s="9"/>
      <c r="O22" s="9"/>
      <c r="P22" s="9"/>
      <c r="Q22" s="9" t="s">
        <v>299</v>
      </c>
      <c r="R22" s="9" t="s">
        <v>48</v>
      </c>
      <c r="S22" s="9"/>
      <c r="T22" s="9" t="s">
        <v>48</v>
      </c>
      <c r="U22" s="9"/>
      <c r="V22" s="9"/>
      <c r="W22" s="9"/>
      <c r="X22" s="45" t="s">
        <v>48</v>
      </c>
      <c r="Y22" s="45"/>
      <c r="Z22" s="45" t="s">
        <v>299</v>
      </c>
      <c r="AA22" s="9"/>
      <c r="AB22" s="105">
        <f t="shared" si="0"/>
        <v>7</v>
      </c>
      <c r="AC22" s="101">
        <f t="shared" si="1"/>
        <v>0</v>
      </c>
      <c r="AD22" s="101">
        <f t="shared" si="2"/>
        <v>0</v>
      </c>
      <c r="AE22" s="101">
        <f t="shared" si="3"/>
        <v>-5</v>
      </c>
      <c r="AF22" s="101">
        <f t="shared" si="4"/>
        <v>0</v>
      </c>
      <c r="AG22" s="102">
        <f t="shared" si="5"/>
        <v>0</v>
      </c>
      <c r="AK22" s="195">
        <f t="shared" si="6"/>
        <v>7</v>
      </c>
      <c r="AN22" s="6">
        <f t="shared" si="7"/>
        <v>-1</v>
      </c>
      <c r="AO22" s="6">
        <f t="shared" si="8"/>
        <v>0</v>
      </c>
      <c r="AP22" s="6">
        <f t="shared" si="9"/>
        <v>0</v>
      </c>
      <c r="AQ22" s="6">
        <f t="shared" si="10"/>
        <v>0</v>
      </c>
      <c r="AR22" s="6">
        <f t="shared" si="11"/>
        <v>0</v>
      </c>
      <c r="AS22" s="6">
        <f t="shared" si="12"/>
        <v>-1</v>
      </c>
      <c r="AT22" s="6">
        <f t="shared" si="13"/>
        <v>0</v>
      </c>
      <c r="AU22" s="6">
        <f t="shared" si="14"/>
        <v>-1</v>
      </c>
      <c r="AV22" s="6">
        <f t="shared" si="15"/>
        <v>-1</v>
      </c>
      <c r="AW22" s="6">
        <f t="shared" si="16"/>
        <v>0</v>
      </c>
      <c r="AX22" s="6">
        <f t="shared" si="17"/>
        <v>0</v>
      </c>
      <c r="AY22" s="6">
        <f t="shared" si="18"/>
        <v>0</v>
      </c>
      <c r="AZ22" s="6">
        <f t="shared" si="19"/>
        <v>0</v>
      </c>
      <c r="BA22" s="6">
        <f t="shared" si="20"/>
        <v>0</v>
      </c>
      <c r="BB22" s="6">
        <f t="shared" si="21"/>
        <v>0</v>
      </c>
      <c r="BC22" s="6">
        <f t="shared" si="22"/>
        <v>0</v>
      </c>
      <c r="BD22" s="6">
        <f t="shared" si="23"/>
        <v>0</v>
      </c>
      <c r="BE22" s="6">
        <f t="shared" si="24"/>
        <v>0</v>
      </c>
      <c r="BF22" s="6">
        <f t="shared" si="25"/>
        <v>0</v>
      </c>
      <c r="BG22" s="6">
        <f t="shared" si="26"/>
        <v>0</v>
      </c>
      <c r="BH22" s="6">
        <f t="shared" si="27"/>
        <v>0</v>
      </c>
      <c r="BI22" s="6">
        <f t="shared" si="28"/>
        <v>-1</v>
      </c>
      <c r="BJ22" s="6">
        <f t="shared" si="29"/>
        <v>0</v>
      </c>
      <c r="BK22" s="6">
        <f t="shared" si="30"/>
        <v>0</v>
      </c>
      <c r="BL22" s="6">
        <f t="shared" si="31"/>
        <v>0</v>
      </c>
      <c r="BM22" s="6">
        <f t="shared" si="32"/>
        <v>-5</v>
      </c>
    </row>
    <row r="23" spans="1:65" x14ac:dyDescent="0.25">
      <c r="A23" s="3">
        <v>17</v>
      </c>
      <c r="B23" s="8" t="s">
        <v>58</v>
      </c>
      <c r="C23" s="9" t="s">
        <v>48</v>
      </c>
      <c r="D23" s="191"/>
      <c r="E23" s="9" t="s">
        <v>48</v>
      </c>
      <c r="F23" s="9" t="s">
        <v>48</v>
      </c>
      <c r="G23" s="9" t="s">
        <v>299</v>
      </c>
      <c r="H23" s="9"/>
      <c r="I23" s="9"/>
      <c r="J23" s="9"/>
      <c r="K23" s="9" t="s">
        <v>299</v>
      </c>
      <c r="L23" s="9"/>
      <c r="M23" s="9" t="s">
        <v>48</v>
      </c>
      <c r="N23" s="9"/>
      <c r="O23" s="9"/>
      <c r="P23" s="9" t="s">
        <v>48</v>
      </c>
      <c r="Q23" s="9" t="s">
        <v>48</v>
      </c>
      <c r="R23" s="9"/>
      <c r="S23" s="9"/>
      <c r="T23" s="9"/>
      <c r="U23" s="9"/>
      <c r="V23" s="9"/>
      <c r="W23" s="9"/>
      <c r="X23" s="45"/>
      <c r="Y23" s="45"/>
      <c r="Z23" s="45" t="s">
        <v>299</v>
      </c>
      <c r="AA23" s="9"/>
      <c r="AB23" s="105">
        <f t="shared" si="0"/>
        <v>6</v>
      </c>
      <c r="AC23" s="101">
        <f t="shared" si="1"/>
        <v>0</v>
      </c>
      <c r="AD23" s="101">
        <f t="shared" si="2"/>
        <v>0</v>
      </c>
      <c r="AE23" s="101">
        <f t="shared" si="3"/>
        <v>-5</v>
      </c>
      <c r="AF23" s="101">
        <f t="shared" si="4"/>
        <v>0</v>
      </c>
      <c r="AG23" s="102">
        <f t="shared" si="5"/>
        <v>0</v>
      </c>
      <c r="AH23" s="6"/>
      <c r="AI23" s="6"/>
      <c r="AK23" s="195">
        <f t="shared" si="6"/>
        <v>6</v>
      </c>
      <c r="AN23" s="6">
        <f t="shared" si="7"/>
        <v>-1</v>
      </c>
      <c r="AO23" s="6">
        <f t="shared" si="8"/>
        <v>0</v>
      </c>
      <c r="AP23" s="6">
        <f t="shared" si="9"/>
        <v>-1</v>
      </c>
      <c r="AQ23" s="6">
        <f t="shared" si="10"/>
        <v>0</v>
      </c>
      <c r="AR23" s="6">
        <f t="shared" si="11"/>
        <v>0</v>
      </c>
      <c r="AS23" s="6">
        <f t="shared" si="12"/>
        <v>0</v>
      </c>
      <c r="AT23" s="6">
        <f t="shared" si="13"/>
        <v>0</v>
      </c>
      <c r="AU23" s="6">
        <f t="shared" si="14"/>
        <v>0</v>
      </c>
      <c r="AV23" s="6">
        <f t="shared" si="15"/>
        <v>0</v>
      </c>
      <c r="AW23" s="6">
        <f t="shared" si="16"/>
        <v>0</v>
      </c>
      <c r="AX23" s="6">
        <f t="shared" si="17"/>
        <v>-1</v>
      </c>
      <c r="AY23" s="6">
        <f t="shared" si="18"/>
        <v>0</v>
      </c>
      <c r="AZ23" s="6">
        <f t="shared" si="19"/>
        <v>0</v>
      </c>
      <c r="BA23" s="6">
        <f t="shared" si="20"/>
        <v>-1</v>
      </c>
      <c r="BB23" s="6">
        <f t="shared" si="21"/>
        <v>-1</v>
      </c>
      <c r="BC23" s="6">
        <f t="shared" si="22"/>
        <v>0</v>
      </c>
      <c r="BD23" s="6">
        <f t="shared" si="23"/>
        <v>0</v>
      </c>
      <c r="BE23" s="6">
        <f t="shared" si="24"/>
        <v>0</v>
      </c>
      <c r="BF23" s="6">
        <f t="shared" si="25"/>
        <v>0</v>
      </c>
      <c r="BG23" s="6">
        <f t="shared" si="26"/>
        <v>0</v>
      </c>
      <c r="BH23" s="6">
        <f t="shared" si="27"/>
        <v>0</v>
      </c>
      <c r="BI23" s="6">
        <f t="shared" si="28"/>
        <v>0</v>
      </c>
      <c r="BJ23" s="6">
        <f t="shared" si="29"/>
        <v>0</v>
      </c>
      <c r="BK23" s="6">
        <f t="shared" si="30"/>
        <v>0</v>
      </c>
      <c r="BL23" s="6">
        <f t="shared" si="31"/>
        <v>0</v>
      </c>
      <c r="BM23" s="6">
        <f t="shared" si="32"/>
        <v>-5</v>
      </c>
    </row>
    <row r="24" spans="1:65" x14ac:dyDescent="0.25">
      <c r="A24" s="3">
        <v>18</v>
      </c>
      <c r="B24" s="112" t="s">
        <v>124</v>
      </c>
      <c r="C24" s="9" t="s">
        <v>48</v>
      </c>
      <c r="D24" s="191" t="s">
        <v>48</v>
      </c>
      <c r="E24" s="9" t="s">
        <v>48</v>
      </c>
      <c r="F24" s="9"/>
      <c r="G24" s="9"/>
      <c r="H24" s="9"/>
      <c r="I24" s="9"/>
      <c r="J24" s="9"/>
      <c r="K24" s="9"/>
      <c r="L24" s="9" t="s">
        <v>48</v>
      </c>
      <c r="M24" s="9" t="s">
        <v>299</v>
      </c>
      <c r="N24" s="9" t="s">
        <v>48</v>
      </c>
      <c r="O24" s="9"/>
      <c r="P24" s="9"/>
      <c r="Q24" s="9"/>
      <c r="R24" s="9"/>
      <c r="S24" s="9"/>
      <c r="T24" s="9" t="s">
        <v>48</v>
      </c>
      <c r="U24" s="9" t="s">
        <v>299</v>
      </c>
      <c r="V24" s="9"/>
      <c r="W24" s="9"/>
      <c r="X24" s="45"/>
      <c r="Y24" s="45"/>
      <c r="Z24" s="45"/>
      <c r="AA24" s="9"/>
      <c r="AB24" s="105">
        <f t="shared" si="0"/>
        <v>6</v>
      </c>
      <c r="AC24" s="101">
        <f t="shared" si="1"/>
        <v>0</v>
      </c>
      <c r="AD24" s="101">
        <f t="shared" si="2"/>
        <v>0</v>
      </c>
      <c r="AE24" s="101">
        <f t="shared" si="3"/>
        <v>-3</v>
      </c>
      <c r="AF24" s="101">
        <f t="shared" si="4"/>
        <v>0</v>
      </c>
      <c r="AG24" s="102">
        <f t="shared" si="5"/>
        <v>0</v>
      </c>
      <c r="AH24" s="6"/>
      <c r="AI24" s="6"/>
      <c r="AK24" s="195">
        <f t="shared" si="6"/>
        <v>6</v>
      </c>
      <c r="AN24" s="6">
        <f t="shared" si="7"/>
        <v>-1</v>
      </c>
      <c r="AO24" s="6">
        <f t="shared" si="8"/>
        <v>0</v>
      </c>
      <c r="AP24" s="6">
        <f t="shared" si="9"/>
        <v>-1</v>
      </c>
      <c r="AQ24" s="6">
        <f t="shared" si="10"/>
        <v>0</v>
      </c>
      <c r="AR24" s="6">
        <f t="shared" si="11"/>
        <v>0</v>
      </c>
      <c r="AS24" s="6">
        <f t="shared" si="12"/>
        <v>0</v>
      </c>
      <c r="AT24" s="6">
        <f t="shared" si="13"/>
        <v>0</v>
      </c>
      <c r="AU24" s="6">
        <f t="shared" si="14"/>
        <v>0</v>
      </c>
      <c r="AV24" s="6">
        <f t="shared" si="15"/>
        <v>0</v>
      </c>
      <c r="AW24" s="6">
        <f t="shared" si="16"/>
        <v>0</v>
      </c>
      <c r="AX24" s="6">
        <f t="shared" si="17"/>
        <v>0</v>
      </c>
      <c r="AY24" s="6">
        <f t="shared" si="18"/>
        <v>-1</v>
      </c>
      <c r="AZ24" s="6">
        <f t="shared" si="19"/>
        <v>0</v>
      </c>
      <c r="BA24" s="6">
        <f t="shared" si="20"/>
        <v>0</v>
      </c>
      <c r="BB24" s="6">
        <f t="shared" si="21"/>
        <v>0</v>
      </c>
      <c r="BC24" s="6">
        <f t="shared" si="22"/>
        <v>0</v>
      </c>
      <c r="BD24" s="6">
        <f t="shared" si="23"/>
        <v>0</v>
      </c>
      <c r="BE24" s="6">
        <f t="shared" si="24"/>
        <v>0</v>
      </c>
      <c r="BF24" s="6">
        <f t="shared" si="25"/>
        <v>0</v>
      </c>
      <c r="BG24" s="6">
        <f t="shared" si="26"/>
        <v>0</v>
      </c>
      <c r="BH24" s="6">
        <f t="shared" si="27"/>
        <v>0</v>
      </c>
      <c r="BI24" s="6">
        <f t="shared" si="28"/>
        <v>0</v>
      </c>
      <c r="BJ24" s="6">
        <f t="shared" si="29"/>
        <v>0</v>
      </c>
      <c r="BK24" s="6">
        <f t="shared" si="30"/>
        <v>0</v>
      </c>
      <c r="BL24" s="6">
        <f t="shared" si="31"/>
        <v>0</v>
      </c>
      <c r="BM24" s="6">
        <f t="shared" si="32"/>
        <v>-3</v>
      </c>
    </row>
    <row r="25" spans="1:65" x14ac:dyDescent="0.25">
      <c r="A25" s="3">
        <v>19</v>
      </c>
      <c r="B25" s="8" t="s">
        <v>77</v>
      </c>
      <c r="C25" s="9" t="s">
        <v>299</v>
      </c>
      <c r="D25" s="191" t="s">
        <v>48</v>
      </c>
      <c r="E25" s="9"/>
      <c r="F25" s="9" t="s">
        <v>48</v>
      </c>
      <c r="G25" s="9" t="s">
        <v>48</v>
      </c>
      <c r="H25" s="9" t="s">
        <v>48</v>
      </c>
      <c r="I25" s="9"/>
      <c r="J25" s="9"/>
      <c r="K25" s="9"/>
      <c r="L25" s="9" t="s">
        <v>48</v>
      </c>
      <c r="M25" s="9"/>
      <c r="N25" s="9"/>
      <c r="O25" s="9" t="s">
        <v>299</v>
      </c>
      <c r="P25" s="9"/>
      <c r="Q25" s="9"/>
      <c r="R25" s="9"/>
      <c r="S25" s="9"/>
      <c r="T25" s="9"/>
      <c r="U25" s="9"/>
      <c r="V25" s="9"/>
      <c r="W25" s="9"/>
      <c r="X25" s="45"/>
      <c r="Y25" s="45" t="s">
        <v>48</v>
      </c>
      <c r="Z25" s="45"/>
      <c r="AA25" s="9"/>
      <c r="AB25" s="105">
        <f t="shared" si="0"/>
        <v>6</v>
      </c>
      <c r="AC25" s="101">
        <f t="shared" si="1"/>
        <v>0</v>
      </c>
      <c r="AD25" s="101">
        <f t="shared" si="2"/>
        <v>0</v>
      </c>
      <c r="AE25" s="101">
        <f t="shared" si="3"/>
        <v>-3</v>
      </c>
      <c r="AF25" s="101">
        <f t="shared" si="4"/>
        <v>0</v>
      </c>
      <c r="AG25" s="102">
        <f t="shared" si="5"/>
        <v>0</v>
      </c>
      <c r="AK25" s="195">
        <f t="shared" si="6"/>
        <v>6</v>
      </c>
      <c r="AN25" s="6">
        <f t="shared" si="7"/>
        <v>0</v>
      </c>
      <c r="AO25" s="6">
        <f t="shared" si="8"/>
        <v>0</v>
      </c>
      <c r="AP25" s="6">
        <f t="shared" si="9"/>
        <v>0</v>
      </c>
      <c r="AQ25" s="6">
        <f t="shared" si="10"/>
        <v>0</v>
      </c>
      <c r="AR25" s="6">
        <f t="shared" si="11"/>
        <v>-1</v>
      </c>
      <c r="AS25" s="6">
        <f t="shared" si="12"/>
        <v>-1</v>
      </c>
      <c r="AT25" s="6">
        <f t="shared" si="13"/>
        <v>0</v>
      </c>
      <c r="AU25" s="6">
        <f t="shared" si="14"/>
        <v>0</v>
      </c>
      <c r="AV25" s="6">
        <f t="shared" si="15"/>
        <v>0</v>
      </c>
      <c r="AW25" s="6">
        <f t="shared" si="16"/>
        <v>0</v>
      </c>
      <c r="AX25" s="6">
        <f t="shared" si="17"/>
        <v>0</v>
      </c>
      <c r="AY25" s="6">
        <f t="shared" si="18"/>
        <v>0</v>
      </c>
      <c r="AZ25" s="6">
        <f t="shared" si="19"/>
        <v>0</v>
      </c>
      <c r="BA25" s="6">
        <f t="shared" si="20"/>
        <v>0</v>
      </c>
      <c r="BB25" s="6">
        <f t="shared" si="21"/>
        <v>0</v>
      </c>
      <c r="BC25" s="6">
        <f t="shared" si="22"/>
        <v>0</v>
      </c>
      <c r="BD25" s="6">
        <f t="shared" si="23"/>
        <v>0</v>
      </c>
      <c r="BE25" s="6">
        <f t="shared" si="24"/>
        <v>0</v>
      </c>
      <c r="BF25" s="6">
        <f t="shared" si="25"/>
        <v>0</v>
      </c>
      <c r="BG25" s="6">
        <f t="shared" si="26"/>
        <v>0</v>
      </c>
      <c r="BH25" s="6">
        <f t="shared" si="27"/>
        <v>0</v>
      </c>
      <c r="BI25" s="6">
        <f t="shared" si="28"/>
        <v>0</v>
      </c>
      <c r="BJ25" s="6">
        <f t="shared" si="29"/>
        <v>-1</v>
      </c>
      <c r="BK25" s="6">
        <f t="shared" si="30"/>
        <v>0</v>
      </c>
      <c r="BL25" s="6">
        <f t="shared" si="31"/>
        <v>0</v>
      </c>
      <c r="BM25" s="6">
        <f t="shared" si="32"/>
        <v>-3</v>
      </c>
    </row>
    <row r="26" spans="1:65" x14ac:dyDescent="0.25">
      <c r="A26" s="3">
        <v>20</v>
      </c>
      <c r="B26" s="8" t="s">
        <v>123</v>
      </c>
      <c r="C26" s="9"/>
      <c r="D26" s="191"/>
      <c r="E26" s="9"/>
      <c r="F26" s="9"/>
      <c r="G26" s="9" t="s">
        <v>299</v>
      </c>
      <c r="H26" s="9"/>
      <c r="I26" s="9" t="s">
        <v>48</v>
      </c>
      <c r="J26" s="9"/>
      <c r="K26" s="9"/>
      <c r="L26" s="9" t="s">
        <v>48</v>
      </c>
      <c r="M26" s="9"/>
      <c r="N26" s="9" t="s">
        <v>48</v>
      </c>
      <c r="O26" s="9"/>
      <c r="P26" s="9"/>
      <c r="Q26" s="9"/>
      <c r="R26" s="9"/>
      <c r="S26" s="9"/>
      <c r="T26" s="9" t="s">
        <v>48</v>
      </c>
      <c r="U26" s="9"/>
      <c r="V26" s="9" t="s">
        <v>48</v>
      </c>
      <c r="W26" s="9"/>
      <c r="X26" s="45" t="s">
        <v>299</v>
      </c>
      <c r="Y26" s="45"/>
      <c r="Z26" s="45"/>
      <c r="AA26" s="9"/>
      <c r="AB26" s="105">
        <f t="shared" si="0"/>
        <v>5</v>
      </c>
      <c r="AC26" s="101">
        <f t="shared" si="1"/>
        <v>0</v>
      </c>
      <c r="AD26" s="101">
        <f t="shared" si="2"/>
        <v>0</v>
      </c>
      <c r="AE26" s="101">
        <f t="shared" si="3"/>
        <v>-2</v>
      </c>
      <c r="AF26" s="101">
        <f t="shared" si="4"/>
        <v>0</v>
      </c>
      <c r="AG26" s="102">
        <f t="shared" si="5"/>
        <v>0</v>
      </c>
      <c r="AH26" s="6"/>
      <c r="AI26" s="6"/>
      <c r="AK26" s="195">
        <f t="shared" si="6"/>
        <v>5</v>
      </c>
      <c r="AN26" s="6">
        <f t="shared" si="7"/>
        <v>0</v>
      </c>
      <c r="AO26" s="6">
        <f t="shared" si="8"/>
        <v>0</v>
      </c>
      <c r="AP26" s="6">
        <f t="shared" si="9"/>
        <v>0</v>
      </c>
      <c r="AQ26" s="6">
        <f t="shared" si="10"/>
        <v>0</v>
      </c>
      <c r="AR26" s="6">
        <f t="shared" si="11"/>
        <v>0</v>
      </c>
      <c r="AS26" s="6">
        <f t="shared" si="12"/>
        <v>0</v>
      </c>
      <c r="AT26" s="6">
        <f t="shared" si="13"/>
        <v>-1</v>
      </c>
      <c r="AU26" s="6">
        <f t="shared" si="14"/>
        <v>0</v>
      </c>
      <c r="AV26" s="6">
        <f t="shared" si="15"/>
        <v>0</v>
      </c>
      <c r="AW26" s="6">
        <f t="shared" si="16"/>
        <v>0</v>
      </c>
      <c r="AX26" s="6">
        <f t="shared" si="17"/>
        <v>0</v>
      </c>
      <c r="AY26" s="6">
        <f t="shared" si="18"/>
        <v>-1</v>
      </c>
      <c r="AZ26" s="6">
        <f t="shared" si="19"/>
        <v>0</v>
      </c>
      <c r="BA26" s="6">
        <f t="shared" si="20"/>
        <v>0</v>
      </c>
      <c r="BB26" s="6">
        <f t="shared" si="21"/>
        <v>0</v>
      </c>
      <c r="BC26" s="6">
        <f t="shared" si="22"/>
        <v>0</v>
      </c>
      <c r="BD26" s="6">
        <f t="shared" si="23"/>
        <v>0</v>
      </c>
      <c r="BE26" s="6">
        <f t="shared" si="24"/>
        <v>0</v>
      </c>
      <c r="BF26" s="6">
        <f t="shared" si="25"/>
        <v>0</v>
      </c>
      <c r="BG26" s="6">
        <f t="shared" si="26"/>
        <v>0</v>
      </c>
      <c r="BH26" s="6">
        <f t="shared" si="27"/>
        <v>0</v>
      </c>
      <c r="BI26" s="6">
        <f t="shared" si="28"/>
        <v>0</v>
      </c>
      <c r="BJ26" s="6">
        <f t="shared" si="29"/>
        <v>0</v>
      </c>
      <c r="BK26" s="6">
        <f t="shared" si="30"/>
        <v>0</v>
      </c>
      <c r="BL26" s="6">
        <f t="shared" si="31"/>
        <v>0</v>
      </c>
      <c r="BM26" s="6">
        <f t="shared" si="32"/>
        <v>-2</v>
      </c>
    </row>
    <row r="27" spans="1:65" x14ac:dyDescent="0.25">
      <c r="A27" s="3">
        <v>21</v>
      </c>
      <c r="B27" s="8" t="s">
        <v>68</v>
      </c>
      <c r="C27" s="9" t="s">
        <v>299</v>
      </c>
      <c r="D27" s="191"/>
      <c r="E27" s="9"/>
      <c r="F27" s="9"/>
      <c r="G27" s="9" t="s">
        <v>52</v>
      </c>
      <c r="H27" s="9"/>
      <c r="I27" s="9"/>
      <c r="J27" s="9"/>
      <c r="K27" s="9"/>
      <c r="L27" s="9"/>
      <c r="M27" s="9"/>
      <c r="N27" s="9"/>
      <c r="O27" s="9" t="s">
        <v>52</v>
      </c>
      <c r="P27" s="9"/>
      <c r="Q27" s="9"/>
      <c r="R27" s="9"/>
      <c r="S27" s="9"/>
      <c r="T27" s="9" t="s">
        <v>48</v>
      </c>
      <c r="U27" s="9" t="s">
        <v>299</v>
      </c>
      <c r="V27" s="9" t="s">
        <v>48</v>
      </c>
      <c r="W27" s="9"/>
      <c r="X27" s="45"/>
      <c r="Y27" s="45"/>
      <c r="Z27" s="45"/>
      <c r="AA27" s="9"/>
      <c r="AB27" s="105">
        <f t="shared" si="0"/>
        <v>4</v>
      </c>
      <c r="AC27" s="101">
        <f t="shared" si="1"/>
        <v>0</v>
      </c>
      <c r="AD27" s="101">
        <f t="shared" si="2"/>
        <v>0</v>
      </c>
      <c r="AE27" s="101">
        <f t="shared" si="3"/>
        <v>0</v>
      </c>
      <c r="AF27" s="101">
        <f t="shared" si="4"/>
        <v>2</v>
      </c>
      <c r="AG27" s="102">
        <f t="shared" si="5"/>
        <v>0</v>
      </c>
      <c r="AK27" s="195">
        <f t="shared" si="6"/>
        <v>2</v>
      </c>
      <c r="AN27" s="6">
        <f t="shared" si="7"/>
        <v>0</v>
      </c>
      <c r="AO27" s="6">
        <f t="shared" si="8"/>
        <v>0</v>
      </c>
      <c r="AP27" s="6">
        <f t="shared" si="9"/>
        <v>0</v>
      </c>
      <c r="AQ27" s="6">
        <f t="shared" si="10"/>
        <v>0</v>
      </c>
      <c r="AR27" s="6">
        <f t="shared" si="11"/>
        <v>0</v>
      </c>
      <c r="AS27" s="6">
        <f t="shared" si="12"/>
        <v>0</v>
      </c>
      <c r="AT27" s="6">
        <f t="shared" si="13"/>
        <v>0</v>
      </c>
      <c r="AU27" s="6">
        <f t="shared" si="14"/>
        <v>0</v>
      </c>
      <c r="AV27" s="6">
        <f t="shared" si="15"/>
        <v>0</v>
      </c>
      <c r="AW27" s="6">
        <f t="shared" si="16"/>
        <v>0</v>
      </c>
      <c r="AX27" s="6">
        <f t="shared" si="17"/>
        <v>0</v>
      </c>
      <c r="AY27" s="6">
        <f t="shared" si="18"/>
        <v>0</v>
      </c>
      <c r="AZ27" s="6">
        <f t="shared" si="19"/>
        <v>0</v>
      </c>
      <c r="BA27" s="6">
        <f t="shared" si="20"/>
        <v>0</v>
      </c>
      <c r="BB27" s="6">
        <f t="shared" si="21"/>
        <v>0</v>
      </c>
      <c r="BC27" s="6">
        <f t="shared" si="22"/>
        <v>0</v>
      </c>
      <c r="BD27" s="6">
        <f t="shared" si="23"/>
        <v>0</v>
      </c>
      <c r="BE27" s="6">
        <f t="shared" si="24"/>
        <v>0</v>
      </c>
      <c r="BF27" s="6">
        <f t="shared" si="25"/>
        <v>0</v>
      </c>
      <c r="BG27" s="6">
        <f t="shared" si="26"/>
        <v>0</v>
      </c>
      <c r="BH27" s="6">
        <f t="shared" si="27"/>
        <v>0</v>
      </c>
      <c r="BI27" s="6">
        <f t="shared" si="28"/>
        <v>0</v>
      </c>
      <c r="BJ27" s="6">
        <f t="shared" si="29"/>
        <v>0</v>
      </c>
      <c r="BK27" s="6">
        <f t="shared" si="30"/>
        <v>0</v>
      </c>
      <c r="BL27" s="6">
        <f t="shared" si="31"/>
        <v>0</v>
      </c>
      <c r="BM27" s="6">
        <f t="shared" si="32"/>
        <v>0</v>
      </c>
    </row>
    <row r="28" spans="1:65" x14ac:dyDescent="0.25">
      <c r="A28" s="3">
        <v>22</v>
      </c>
      <c r="B28" s="8" t="s">
        <v>79</v>
      </c>
      <c r="C28" s="9"/>
      <c r="D28" s="191"/>
      <c r="E28" s="9"/>
      <c r="F28" s="9"/>
      <c r="G28" s="9"/>
      <c r="H28" s="9" t="s">
        <v>299</v>
      </c>
      <c r="I28" s="9"/>
      <c r="J28" s="9"/>
      <c r="K28" s="9"/>
      <c r="L28" s="9"/>
      <c r="M28" s="9"/>
      <c r="N28" s="9"/>
      <c r="O28" s="9"/>
      <c r="P28" s="9"/>
      <c r="Q28" s="9"/>
      <c r="R28" s="9" t="s">
        <v>48</v>
      </c>
      <c r="S28" s="9"/>
      <c r="T28" s="9"/>
      <c r="U28" s="9"/>
      <c r="V28" s="9"/>
      <c r="W28" s="9"/>
      <c r="X28" s="45" t="s">
        <v>48</v>
      </c>
      <c r="Y28" s="45" t="s">
        <v>48</v>
      </c>
      <c r="Z28" s="45"/>
      <c r="AA28" s="9"/>
      <c r="AB28" s="105">
        <f t="shared" si="0"/>
        <v>3</v>
      </c>
      <c r="AC28" s="101">
        <f t="shared" si="1"/>
        <v>0</v>
      </c>
      <c r="AD28" s="101">
        <f t="shared" si="2"/>
        <v>0</v>
      </c>
      <c r="AE28" s="101">
        <f t="shared" si="3"/>
        <v>-2</v>
      </c>
      <c r="AF28" s="101">
        <f t="shared" si="4"/>
        <v>0</v>
      </c>
      <c r="AG28" s="102">
        <f t="shared" si="5"/>
        <v>0</v>
      </c>
      <c r="AH28" s="6"/>
      <c r="AI28" s="6"/>
      <c r="AK28" s="195">
        <f t="shared" si="6"/>
        <v>3</v>
      </c>
      <c r="AN28" s="6">
        <f t="shared" si="7"/>
        <v>0</v>
      </c>
      <c r="AO28" s="6">
        <f t="shared" si="8"/>
        <v>0</v>
      </c>
      <c r="AP28" s="6">
        <f t="shared" si="9"/>
        <v>0</v>
      </c>
      <c r="AQ28" s="6">
        <f t="shared" si="10"/>
        <v>0</v>
      </c>
      <c r="AR28" s="6">
        <f t="shared" si="11"/>
        <v>0</v>
      </c>
      <c r="AS28" s="6">
        <f t="shared" si="12"/>
        <v>0</v>
      </c>
      <c r="AT28" s="6">
        <f t="shared" si="13"/>
        <v>0</v>
      </c>
      <c r="AU28" s="6">
        <f t="shared" si="14"/>
        <v>0</v>
      </c>
      <c r="AV28" s="6">
        <f t="shared" si="15"/>
        <v>0</v>
      </c>
      <c r="AW28" s="6">
        <f t="shared" si="16"/>
        <v>0</v>
      </c>
      <c r="AX28" s="6">
        <f t="shared" si="17"/>
        <v>0</v>
      </c>
      <c r="AY28" s="6">
        <f t="shared" si="18"/>
        <v>0</v>
      </c>
      <c r="AZ28" s="6">
        <f t="shared" si="19"/>
        <v>0</v>
      </c>
      <c r="BA28" s="6">
        <f t="shared" si="20"/>
        <v>0</v>
      </c>
      <c r="BB28" s="6">
        <f t="shared" si="21"/>
        <v>0</v>
      </c>
      <c r="BC28" s="6">
        <f t="shared" si="22"/>
        <v>0</v>
      </c>
      <c r="BD28" s="6">
        <f t="shared" si="23"/>
        <v>0</v>
      </c>
      <c r="BE28" s="6">
        <f t="shared" si="24"/>
        <v>0</v>
      </c>
      <c r="BF28" s="6">
        <f t="shared" si="25"/>
        <v>0</v>
      </c>
      <c r="BG28" s="6">
        <f t="shared" si="26"/>
        <v>0</v>
      </c>
      <c r="BH28" s="6">
        <f t="shared" si="27"/>
        <v>0</v>
      </c>
      <c r="BI28" s="6">
        <f t="shared" si="28"/>
        <v>-1</v>
      </c>
      <c r="BJ28" s="6">
        <f t="shared" si="29"/>
        <v>-1</v>
      </c>
      <c r="BK28" s="6">
        <f t="shared" si="30"/>
        <v>0</v>
      </c>
      <c r="BL28" s="6">
        <f t="shared" si="31"/>
        <v>0</v>
      </c>
      <c r="BM28" s="6">
        <f t="shared" si="32"/>
        <v>-2</v>
      </c>
    </row>
    <row r="29" spans="1:65" x14ac:dyDescent="0.25">
      <c r="A29" s="3">
        <v>23</v>
      </c>
      <c r="B29" s="8" t="s">
        <v>120</v>
      </c>
      <c r="C29" s="9"/>
      <c r="D29" s="191"/>
      <c r="E29" s="9"/>
      <c r="F29" s="9"/>
      <c r="G29" s="9"/>
      <c r="H29" s="9"/>
      <c r="I29" s="9"/>
      <c r="J29" s="9"/>
      <c r="K29" s="9"/>
      <c r="L29" s="9"/>
      <c r="M29" s="9" t="s">
        <v>299</v>
      </c>
      <c r="N29" s="9"/>
      <c r="O29" s="9"/>
      <c r="P29" s="9"/>
      <c r="Q29" s="9"/>
      <c r="R29" s="9"/>
      <c r="S29" s="9"/>
      <c r="T29" s="9" t="s">
        <v>48</v>
      </c>
      <c r="U29" s="9" t="s">
        <v>299</v>
      </c>
      <c r="V29" s="9"/>
      <c r="W29" s="9"/>
      <c r="X29" s="45" t="s">
        <v>299</v>
      </c>
      <c r="Y29" s="45"/>
      <c r="Z29" s="45"/>
      <c r="AA29" s="9"/>
      <c r="AB29" s="105">
        <f t="shared" si="0"/>
        <v>1</v>
      </c>
      <c r="AC29" s="101">
        <f t="shared" si="1"/>
        <v>0</v>
      </c>
      <c r="AD29" s="101">
        <f t="shared" si="2"/>
        <v>0</v>
      </c>
      <c r="AE29" s="101">
        <f t="shared" si="3"/>
        <v>0</v>
      </c>
      <c r="AF29" s="101">
        <f t="shared" si="4"/>
        <v>0</v>
      </c>
      <c r="AG29" s="102">
        <f t="shared" si="5"/>
        <v>0</v>
      </c>
      <c r="AK29" s="195">
        <f t="shared" si="6"/>
        <v>1</v>
      </c>
      <c r="AN29" s="6">
        <f t="shared" si="7"/>
        <v>0</v>
      </c>
      <c r="AO29" s="6">
        <f t="shared" si="8"/>
        <v>0</v>
      </c>
      <c r="AP29" s="6">
        <f t="shared" si="9"/>
        <v>0</v>
      </c>
      <c r="AQ29" s="6">
        <f t="shared" si="10"/>
        <v>0</v>
      </c>
      <c r="AR29" s="6">
        <f t="shared" si="11"/>
        <v>0</v>
      </c>
      <c r="AS29" s="6">
        <f t="shared" si="12"/>
        <v>0</v>
      </c>
      <c r="AT29" s="6">
        <f t="shared" si="13"/>
        <v>0</v>
      </c>
      <c r="AU29" s="6">
        <f t="shared" si="14"/>
        <v>0</v>
      </c>
      <c r="AV29" s="6">
        <f t="shared" si="15"/>
        <v>0</v>
      </c>
      <c r="AW29" s="6">
        <f t="shared" si="16"/>
        <v>0</v>
      </c>
      <c r="AX29" s="6">
        <f t="shared" si="17"/>
        <v>0</v>
      </c>
      <c r="AY29" s="6">
        <f t="shared" si="18"/>
        <v>0</v>
      </c>
      <c r="AZ29" s="6">
        <f t="shared" si="19"/>
        <v>0</v>
      </c>
      <c r="BA29" s="6">
        <f t="shared" si="20"/>
        <v>0</v>
      </c>
      <c r="BB29" s="6">
        <f t="shared" si="21"/>
        <v>0</v>
      </c>
      <c r="BC29" s="6">
        <f t="shared" si="22"/>
        <v>0</v>
      </c>
      <c r="BD29" s="6">
        <f t="shared" si="23"/>
        <v>0</v>
      </c>
      <c r="BE29" s="6">
        <f t="shared" si="24"/>
        <v>0</v>
      </c>
      <c r="BF29" s="6">
        <f t="shared" si="25"/>
        <v>0</v>
      </c>
      <c r="BG29" s="6">
        <f t="shared" si="26"/>
        <v>0</v>
      </c>
      <c r="BH29" s="6">
        <f t="shared" si="27"/>
        <v>0</v>
      </c>
      <c r="BI29" s="6">
        <f t="shared" si="28"/>
        <v>0</v>
      </c>
      <c r="BJ29" s="6">
        <f t="shared" si="29"/>
        <v>0</v>
      </c>
      <c r="BK29" s="6">
        <f t="shared" si="30"/>
        <v>0</v>
      </c>
      <c r="BL29" s="6">
        <f t="shared" si="31"/>
        <v>0</v>
      </c>
      <c r="BM29" s="6">
        <f t="shared" si="32"/>
        <v>0</v>
      </c>
    </row>
    <row r="30" spans="1:65" x14ac:dyDescent="0.25">
      <c r="A30" s="3">
        <v>24</v>
      </c>
      <c r="B30" s="8" t="s">
        <v>119</v>
      </c>
      <c r="C30" s="9"/>
      <c r="D30" s="191"/>
      <c r="E30" s="9" t="s">
        <v>48</v>
      </c>
      <c r="F30" s="9"/>
      <c r="G30" s="9"/>
      <c r="H30" s="9"/>
      <c r="I30" s="9"/>
      <c r="J30" s="9" t="s">
        <v>48</v>
      </c>
      <c r="K30" s="9"/>
      <c r="L30" s="9"/>
      <c r="M30" s="9" t="s">
        <v>299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45"/>
      <c r="Y30" s="45"/>
      <c r="Z30" s="45"/>
      <c r="AA30" s="9"/>
      <c r="AB30" s="105">
        <f t="shared" si="0"/>
        <v>2</v>
      </c>
      <c r="AC30" s="101">
        <f t="shared" si="1"/>
        <v>0</v>
      </c>
      <c r="AD30" s="101">
        <f t="shared" si="2"/>
        <v>0</v>
      </c>
      <c r="AE30" s="101">
        <f t="shared" si="3"/>
        <v>-2</v>
      </c>
      <c r="AF30" s="101">
        <f t="shared" si="4"/>
        <v>0</v>
      </c>
      <c r="AG30" s="102" t="e">
        <f t="shared" si="5"/>
        <v>#DIV/0!</v>
      </c>
      <c r="AH30" s="6"/>
      <c r="AI30" s="6"/>
      <c r="AK30" s="195">
        <f t="shared" si="6"/>
        <v>2</v>
      </c>
      <c r="AN30" s="6">
        <f t="shared" si="7"/>
        <v>0</v>
      </c>
      <c r="AO30" s="6">
        <f t="shared" si="8"/>
        <v>0</v>
      </c>
      <c r="AP30" s="6">
        <f t="shared" si="9"/>
        <v>-1</v>
      </c>
      <c r="AQ30" s="6">
        <f t="shared" si="10"/>
        <v>0</v>
      </c>
      <c r="AR30" s="6">
        <f t="shared" si="11"/>
        <v>0</v>
      </c>
      <c r="AS30" s="6">
        <f t="shared" si="12"/>
        <v>0</v>
      </c>
      <c r="AT30" s="6">
        <f t="shared" si="13"/>
        <v>0</v>
      </c>
      <c r="AU30" s="6">
        <f t="shared" si="14"/>
        <v>-1</v>
      </c>
      <c r="AV30" s="6">
        <f t="shared" si="15"/>
        <v>0</v>
      </c>
      <c r="AW30" s="6">
        <f t="shared" si="16"/>
        <v>0</v>
      </c>
      <c r="AX30" s="6">
        <f t="shared" si="17"/>
        <v>0</v>
      </c>
      <c r="AY30" s="6">
        <f t="shared" si="18"/>
        <v>0</v>
      </c>
      <c r="AZ30" s="6">
        <f t="shared" si="19"/>
        <v>0</v>
      </c>
      <c r="BA30" s="6">
        <f t="shared" si="20"/>
        <v>0</v>
      </c>
      <c r="BB30" s="6">
        <f t="shared" si="21"/>
        <v>0</v>
      </c>
      <c r="BC30" s="6">
        <f t="shared" si="22"/>
        <v>0</v>
      </c>
      <c r="BD30" s="6">
        <f t="shared" si="23"/>
        <v>0</v>
      </c>
      <c r="BE30" s="6">
        <f t="shared" si="24"/>
        <v>0</v>
      </c>
      <c r="BF30" s="6">
        <f t="shared" si="25"/>
        <v>0</v>
      </c>
      <c r="BG30" s="6">
        <f t="shared" si="26"/>
        <v>0</v>
      </c>
      <c r="BH30" s="6">
        <f t="shared" si="27"/>
        <v>0</v>
      </c>
      <c r="BI30" s="6">
        <f t="shared" si="28"/>
        <v>0</v>
      </c>
      <c r="BJ30" s="6">
        <f t="shared" si="29"/>
        <v>0</v>
      </c>
      <c r="BK30" s="6">
        <f t="shared" si="30"/>
        <v>0</v>
      </c>
      <c r="BL30" s="6">
        <f t="shared" si="31"/>
        <v>0</v>
      </c>
      <c r="BM30" s="6">
        <f t="shared" si="32"/>
        <v>-2</v>
      </c>
    </row>
    <row r="31" spans="1:65" x14ac:dyDescent="0.25">
      <c r="A31" s="3">
        <v>25</v>
      </c>
      <c r="B31" s="8" t="s">
        <v>82</v>
      </c>
      <c r="C31" s="9"/>
      <c r="D31" s="191"/>
      <c r="E31" s="9"/>
      <c r="F31" s="159"/>
      <c r="G31" s="159"/>
      <c r="H31" s="9"/>
      <c r="I31" s="9"/>
      <c r="J31" s="9"/>
      <c r="K31" s="9"/>
      <c r="L31" s="9"/>
      <c r="M31" s="9" t="s">
        <v>52</v>
      </c>
      <c r="N31" s="9"/>
      <c r="O31" s="9"/>
      <c r="P31" s="9"/>
      <c r="Q31" s="159"/>
      <c r="R31" s="160"/>
      <c r="S31" s="9"/>
      <c r="T31" s="9"/>
      <c r="U31" s="9" t="s">
        <v>52</v>
      </c>
      <c r="V31" s="9"/>
      <c r="W31" s="9" t="s">
        <v>52</v>
      </c>
      <c r="X31" s="45"/>
      <c r="Y31" s="45"/>
      <c r="Z31" s="45"/>
      <c r="AA31" s="159"/>
      <c r="AB31" s="105">
        <f t="shared" si="0"/>
        <v>3</v>
      </c>
      <c r="AC31" s="101">
        <f t="shared" si="1"/>
        <v>0</v>
      </c>
      <c r="AD31" s="101">
        <f t="shared" si="2"/>
        <v>0</v>
      </c>
      <c r="AE31" s="101">
        <f t="shared" si="3"/>
        <v>0</v>
      </c>
      <c r="AF31" s="101">
        <f t="shared" si="4"/>
        <v>3</v>
      </c>
      <c r="AG31" s="102" t="e">
        <f t="shared" si="5"/>
        <v>#DIV/0!</v>
      </c>
      <c r="AH31" s="6"/>
      <c r="AI31" s="6"/>
      <c r="AK31" s="195">
        <f t="shared" si="6"/>
        <v>0</v>
      </c>
      <c r="AN31" s="6">
        <f t="shared" si="7"/>
        <v>0</v>
      </c>
      <c r="AO31" s="6">
        <f t="shared" si="8"/>
        <v>0</v>
      </c>
      <c r="AP31" s="6">
        <f t="shared" si="9"/>
        <v>0</v>
      </c>
      <c r="AQ31" s="6">
        <f t="shared" si="10"/>
        <v>0</v>
      </c>
      <c r="AR31" s="6">
        <f t="shared" si="11"/>
        <v>0</v>
      </c>
      <c r="AS31" s="6">
        <f t="shared" si="12"/>
        <v>0</v>
      </c>
      <c r="AT31" s="6">
        <f t="shared" si="13"/>
        <v>0</v>
      </c>
      <c r="AU31" s="6">
        <f t="shared" si="14"/>
        <v>0</v>
      </c>
      <c r="AV31" s="6">
        <f t="shared" si="15"/>
        <v>0</v>
      </c>
      <c r="AW31" s="6">
        <f t="shared" si="16"/>
        <v>0</v>
      </c>
      <c r="AX31" s="6">
        <f t="shared" si="17"/>
        <v>0</v>
      </c>
      <c r="AY31" s="6">
        <f t="shared" si="18"/>
        <v>0</v>
      </c>
      <c r="AZ31" s="6">
        <f t="shared" si="19"/>
        <v>0</v>
      </c>
      <c r="BA31" s="6">
        <f t="shared" si="20"/>
        <v>0</v>
      </c>
      <c r="BB31" s="6">
        <f t="shared" si="21"/>
        <v>0</v>
      </c>
      <c r="BC31" s="6">
        <f t="shared" si="22"/>
        <v>0</v>
      </c>
      <c r="BD31" s="6">
        <f t="shared" si="23"/>
        <v>0</v>
      </c>
      <c r="BE31" s="6">
        <f t="shared" si="24"/>
        <v>0</v>
      </c>
      <c r="BF31" s="6">
        <f t="shared" si="25"/>
        <v>0</v>
      </c>
      <c r="BG31" s="6">
        <f t="shared" si="26"/>
        <v>0</v>
      </c>
      <c r="BH31" s="6">
        <f t="shared" si="27"/>
        <v>0</v>
      </c>
      <c r="BI31" s="6">
        <f t="shared" si="28"/>
        <v>0</v>
      </c>
      <c r="BJ31" s="6">
        <f t="shared" si="29"/>
        <v>0</v>
      </c>
      <c r="BK31" s="6">
        <f t="shared" si="30"/>
        <v>0</v>
      </c>
      <c r="BL31" s="6">
        <f t="shared" si="31"/>
        <v>0</v>
      </c>
      <c r="BM31" s="6">
        <f t="shared" si="32"/>
        <v>0</v>
      </c>
    </row>
    <row r="32" spans="1:65" x14ac:dyDescent="0.25">
      <c r="A32" s="3">
        <v>26</v>
      </c>
      <c r="B32" s="8" t="s">
        <v>115</v>
      </c>
      <c r="C32" s="9"/>
      <c r="D32" s="191"/>
      <c r="E32" s="9"/>
      <c r="F32" s="9"/>
      <c r="G32" s="9"/>
      <c r="H32" s="9"/>
      <c r="I32" s="9"/>
      <c r="J32" s="9" t="s">
        <v>74</v>
      </c>
      <c r="K32" s="9"/>
      <c r="L32" s="9"/>
      <c r="M32" s="9"/>
      <c r="N32" s="9"/>
      <c r="O32" s="9"/>
      <c r="P32" s="9"/>
      <c r="Q32" s="9"/>
      <c r="R32" s="9"/>
      <c r="S32" s="9"/>
      <c r="T32" s="9" t="s">
        <v>48</v>
      </c>
      <c r="U32" s="9"/>
      <c r="V32" s="9"/>
      <c r="W32" s="9"/>
      <c r="X32" s="45"/>
      <c r="Y32" s="45"/>
      <c r="Z32" s="45"/>
      <c r="AA32" s="9"/>
      <c r="AB32" s="105">
        <f t="shared" si="0"/>
        <v>2</v>
      </c>
      <c r="AC32" s="101">
        <f t="shared" si="1"/>
        <v>0</v>
      </c>
      <c r="AD32" s="101">
        <f t="shared" si="2"/>
        <v>1</v>
      </c>
      <c r="AE32" s="101">
        <f t="shared" si="3"/>
        <v>0</v>
      </c>
      <c r="AF32" s="101">
        <f t="shared" si="4"/>
        <v>0</v>
      </c>
      <c r="AG32" s="102">
        <f t="shared" si="5"/>
        <v>0</v>
      </c>
      <c r="AH32" s="6"/>
      <c r="AI32" s="6"/>
      <c r="AK32" s="195">
        <f t="shared" si="6"/>
        <v>2</v>
      </c>
      <c r="AN32" s="6">
        <f t="shared" si="7"/>
        <v>0</v>
      </c>
      <c r="AO32" s="6">
        <f t="shared" si="8"/>
        <v>0</v>
      </c>
      <c r="AP32" s="6">
        <f t="shared" si="9"/>
        <v>0</v>
      </c>
      <c r="AQ32" s="6">
        <f t="shared" si="10"/>
        <v>0</v>
      </c>
      <c r="AR32" s="6">
        <f t="shared" si="11"/>
        <v>0</v>
      </c>
      <c r="AS32" s="6">
        <f t="shared" si="12"/>
        <v>0</v>
      </c>
      <c r="AT32" s="6">
        <f t="shared" si="13"/>
        <v>0</v>
      </c>
      <c r="AU32" s="6">
        <f t="shared" si="14"/>
        <v>0</v>
      </c>
      <c r="AV32" s="6">
        <f t="shared" si="15"/>
        <v>0</v>
      </c>
      <c r="AW32" s="6">
        <f t="shared" si="16"/>
        <v>0</v>
      </c>
      <c r="AX32" s="6">
        <f t="shared" si="17"/>
        <v>0</v>
      </c>
      <c r="AY32" s="6">
        <f t="shared" si="18"/>
        <v>0</v>
      </c>
      <c r="AZ32" s="6">
        <f t="shared" si="19"/>
        <v>0</v>
      </c>
      <c r="BA32" s="6">
        <f t="shared" si="20"/>
        <v>0</v>
      </c>
      <c r="BB32" s="6">
        <f t="shared" si="21"/>
        <v>0</v>
      </c>
      <c r="BC32" s="6">
        <f t="shared" si="22"/>
        <v>0</v>
      </c>
      <c r="BD32" s="6">
        <f t="shared" si="23"/>
        <v>0</v>
      </c>
      <c r="BE32" s="6">
        <f t="shared" si="24"/>
        <v>0</v>
      </c>
      <c r="BF32" s="6">
        <f t="shared" si="25"/>
        <v>0</v>
      </c>
      <c r="BG32" s="6">
        <f t="shared" si="26"/>
        <v>0</v>
      </c>
      <c r="BH32" s="6">
        <f t="shared" si="27"/>
        <v>0</v>
      </c>
      <c r="BI32" s="6">
        <f t="shared" si="28"/>
        <v>0</v>
      </c>
      <c r="BJ32" s="6">
        <f t="shared" si="29"/>
        <v>0</v>
      </c>
      <c r="BK32" s="6">
        <f t="shared" si="30"/>
        <v>0</v>
      </c>
      <c r="BL32" s="6">
        <f t="shared" si="31"/>
        <v>0</v>
      </c>
      <c r="BM32" s="6">
        <f t="shared" si="32"/>
        <v>0</v>
      </c>
    </row>
    <row r="33" spans="1:65" x14ac:dyDescent="0.25">
      <c r="A33" s="3">
        <v>27</v>
      </c>
      <c r="B33" s="8" t="s">
        <v>129</v>
      </c>
      <c r="C33" s="9"/>
      <c r="D33" s="191"/>
      <c r="E33" s="9" t="s">
        <v>299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45"/>
      <c r="Y33" s="45"/>
      <c r="Z33" s="45"/>
      <c r="AA33" s="9"/>
      <c r="AB33" s="105">
        <f t="shared" si="0"/>
        <v>0</v>
      </c>
      <c r="AC33" s="101">
        <f t="shared" si="1"/>
        <v>0</v>
      </c>
      <c r="AD33" s="101">
        <f t="shared" si="2"/>
        <v>0</v>
      </c>
      <c r="AE33" s="101">
        <f t="shared" si="3"/>
        <v>0</v>
      </c>
      <c r="AF33" s="101">
        <f t="shared" si="4"/>
        <v>0</v>
      </c>
      <c r="AG33" s="102" t="e">
        <f t="shared" si="5"/>
        <v>#DIV/0!</v>
      </c>
      <c r="AH33" s="6"/>
      <c r="AI33" s="6"/>
      <c r="AK33" s="195">
        <f t="shared" si="6"/>
        <v>0</v>
      </c>
      <c r="AN33" s="6">
        <f t="shared" si="7"/>
        <v>0</v>
      </c>
      <c r="AO33" s="6">
        <f t="shared" si="8"/>
        <v>0</v>
      </c>
      <c r="AP33" s="6">
        <f t="shared" si="9"/>
        <v>0</v>
      </c>
      <c r="AQ33" s="6">
        <f t="shared" si="10"/>
        <v>0</v>
      </c>
      <c r="AR33" s="6">
        <f t="shared" si="11"/>
        <v>0</v>
      </c>
      <c r="AS33" s="6">
        <f t="shared" si="12"/>
        <v>0</v>
      </c>
      <c r="AT33" s="6">
        <f t="shared" si="13"/>
        <v>0</v>
      </c>
      <c r="AU33" s="6">
        <f t="shared" si="14"/>
        <v>0</v>
      </c>
      <c r="AV33" s="6">
        <f t="shared" si="15"/>
        <v>0</v>
      </c>
      <c r="AW33" s="6">
        <f t="shared" si="16"/>
        <v>0</v>
      </c>
      <c r="AX33" s="6">
        <f t="shared" si="17"/>
        <v>0</v>
      </c>
      <c r="AY33" s="6">
        <f t="shared" si="18"/>
        <v>0</v>
      </c>
      <c r="AZ33" s="6">
        <f t="shared" si="19"/>
        <v>0</v>
      </c>
      <c r="BA33" s="6">
        <f t="shared" si="20"/>
        <v>0</v>
      </c>
      <c r="BB33" s="6">
        <f t="shared" si="21"/>
        <v>0</v>
      </c>
      <c r="BC33" s="6">
        <f t="shared" si="22"/>
        <v>0</v>
      </c>
      <c r="BD33" s="6">
        <f t="shared" si="23"/>
        <v>0</v>
      </c>
      <c r="BE33" s="6">
        <f t="shared" si="24"/>
        <v>0</v>
      </c>
      <c r="BF33" s="6">
        <f t="shared" si="25"/>
        <v>0</v>
      </c>
      <c r="BG33" s="6">
        <f t="shared" si="26"/>
        <v>0</v>
      </c>
      <c r="BH33" s="6">
        <f t="shared" si="27"/>
        <v>0</v>
      </c>
      <c r="BI33" s="6">
        <f t="shared" si="28"/>
        <v>0</v>
      </c>
      <c r="BJ33" s="6">
        <f t="shared" si="29"/>
        <v>0</v>
      </c>
      <c r="BK33" s="6">
        <f t="shared" si="30"/>
        <v>0</v>
      </c>
      <c r="BL33" s="6">
        <f t="shared" si="31"/>
        <v>0</v>
      </c>
      <c r="BM33" s="6">
        <f t="shared" si="32"/>
        <v>0</v>
      </c>
    </row>
    <row r="34" spans="1:65" x14ac:dyDescent="0.25">
      <c r="A34" s="3">
        <v>28</v>
      </c>
      <c r="B34" s="8" t="s">
        <v>116</v>
      </c>
      <c r="C34" s="9"/>
      <c r="D34" s="19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45"/>
      <c r="Y34" s="45"/>
      <c r="Z34" s="45"/>
      <c r="AA34" s="9"/>
      <c r="AB34" s="105">
        <f t="shared" ref="AB34:AB35" si="33">SUM(COUNTIF(C34:AA34,"h"),COUNTIF(C34:AA34,"w"),COUNTIF(C34:AA34,"k"),COUNTIF(C34:AA34,"t"))</f>
        <v>0</v>
      </c>
      <c r="AC34" s="101">
        <f t="shared" ref="AC34:AC35" si="34">COUNTIF(C34:AA34,"w")</f>
        <v>0</v>
      </c>
      <c r="AD34" s="101">
        <f t="shared" ref="AD34:AD35" si="35">COUNTIF(C34:AA34,"k")</f>
        <v>0</v>
      </c>
      <c r="AE34" s="101">
        <f t="shared" ref="AE34:AE35" si="36">BM34</f>
        <v>0</v>
      </c>
      <c r="AF34" s="101">
        <f t="shared" ref="AF34:AF35" si="37">COUNTIF(C34:AA34,"t")</f>
        <v>0</v>
      </c>
      <c r="AG34" s="102" t="e">
        <f t="shared" ref="AG34:AG35" si="38">(AC34/(AB34+AE34-AF34-AD34))*100</f>
        <v>#DIV/0!</v>
      </c>
      <c r="AH34" s="6"/>
      <c r="AI34" s="6"/>
      <c r="AK34" s="195">
        <f t="shared" ref="AK34:AK35" si="39">AB34-AF34</f>
        <v>0</v>
      </c>
      <c r="AN34" s="6">
        <f t="shared" ref="AN34:AN35" si="40">IF(C$38="ja",0,IF(C34="h",-1,IF(C34="k",0,IF(C34="w",-1,0))))</f>
        <v>0</v>
      </c>
      <c r="AO34" s="6">
        <f t="shared" ref="AO34:AO35" si="41">IF(D$38="ja",0,IF(D34="h",-1,IF(D34="k",0,IF(D34="w",-1,0))))</f>
        <v>0</v>
      </c>
      <c r="AP34" s="6">
        <f t="shared" ref="AP34:AP35" si="42">IF(E$38="ja",0,IF(E34="h",-1,IF(E34="k",0,IF(E34="w",-1,0))))</f>
        <v>0</v>
      </c>
      <c r="AQ34" s="6">
        <f t="shared" ref="AQ34:AQ35" si="43">IF(F$38="ja",0,IF(F34="h",-1,IF(F34="k",0,IF(F34="w",-1,0))))</f>
        <v>0</v>
      </c>
      <c r="AR34" s="6">
        <f t="shared" ref="AR34:AR35" si="44">IF(G$38="ja",0,IF(G34="h",-1,IF(G34="k",0,IF(G34="w",-1,0))))</f>
        <v>0</v>
      </c>
      <c r="AS34" s="6">
        <f t="shared" ref="AS34:AS35" si="45">IF(H$38="ja",0,IF(H34="h",-1,IF(H34="k",0,IF(H34="w",-1,0))))</f>
        <v>0</v>
      </c>
      <c r="AT34" s="6">
        <f t="shared" ref="AT34:AT35" si="46">IF(I$38="ja",0,IF(I34="h",-1,IF(I34="k",0,IF(I34="w",-1,0))))</f>
        <v>0</v>
      </c>
      <c r="AU34" s="6">
        <f t="shared" ref="AU34:AU35" si="47">IF(J$38="ja",0,IF(J34="h",-1,IF(J34="k",0,IF(J34="w",-1,0))))</f>
        <v>0</v>
      </c>
      <c r="AV34" s="6">
        <f t="shared" ref="AV34:AV35" si="48">IF(K$38="ja",0,IF(K34="h",-1,IF(K34="k",0,IF(K34="w",-1,0))))</f>
        <v>0</v>
      </c>
      <c r="AW34" s="6">
        <f t="shared" ref="AW34:AW35" si="49">IF(L$38="ja",0,IF(L34="h",-1,IF(L34="k",0,IF(L34="w",-1,0))))</f>
        <v>0</v>
      </c>
      <c r="AX34" s="6">
        <f t="shared" ref="AX34:AX35" si="50">IF(M$38="ja",0,IF(M34="h",-1,IF(M34="k",0,IF(M34="w",-1,0))))</f>
        <v>0</v>
      </c>
      <c r="AY34" s="6">
        <f t="shared" ref="AY34:AY35" si="51">IF(N$38="ja",0,IF(N34="h",-1,IF(N34="k",0,IF(N34="w",-1,0))))</f>
        <v>0</v>
      </c>
      <c r="AZ34" s="6">
        <f t="shared" ref="AZ34:AZ35" si="52">IF(O$38="ja",0,IF(O34="h",-1,IF(O34="k",0,IF(O34="w",-1,0))))</f>
        <v>0</v>
      </c>
      <c r="BA34" s="6">
        <f t="shared" ref="BA34:BA35" si="53">IF(P$38="ja",0,IF(P34="h",-1,IF(P34="k",0,IF(P34="w",-1,0))))</f>
        <v>0</v>
      </c>
      <c r="BB34" s="6">
        <f t="shared" ref="BB34:BB35" si="54">IF(Q$38="ja",0,IF(Q34="h",-1,IF(Q34="k",0,IF(Q34="w",-1,0))))</f>
        <v>0</v>
      </c>
      <c r="BC34" s="6">
        <f t="shared" ref="BC34:BC35" si="55">IF(R$38="ja",0,IF(R34="h",-1,IF(R34="k",0,IF(R34="w",-1,0))))</f>
        <v>0</v>
      </c>
      <c r="BD34" s="6">
        <f t="shared" ref="BD34:BD35" si="56">IF(S$38="ja",0,IF(S34="h",-1,IF(S34="k",0,IF(S34="w",-1,0))))</f>
        <v>0</v>
      </c>
      <c r="BE34" s="6">
        <f t="shared" ref="BE34:BE35" si="57">IF(T$38="ja",0,IF(T34="h",-1,IF(T34="k",0,IF(T34="w",-1,0))))</f>
        <v>0</v>
      </c>
      <c r="BF34" s="6">
        <f t="shared" ref="BF34:BF35" si="58">IF(U$38="ja",0,IF(U34="h",-1,IF(U34="k",0,IF(U34="w",-1,0))))</f>
        <v>0</v>
      </c>
      <c r="BG34" s="6">
        <f t="shared" ref="BG34:BG35" si="59">IF(V$38="ja",0,IF(V34="h",-1,IF(V34="k",0,IF(V34="w",-1,0))))</f>
        <v>0</v>
      </c>
      <c r="BH34" s="6">
        <f t="shared" ref="BH34:BH35" si="60">IF(W$38="ja",0,IF(W34="h",-1,IF(W34="k",0,IF(W34="w",-1,0))))</f>
        <v>0</v>
      </c>
      <c r="BI34" s="6">
        <f t="shared" ref="BI34:BI35" si="61">IF(X$38="ja",0,IF(X34="h",-1,IF(X34="k",0,IF(X34="w",-1,0))))</f>
        <v>0</v>
      </c>
      <c r="BJ34" s="6">
        <f t="shared" ref="BJ34:BJ35" si="62">IF(Y$38="ja",0,IF(Y34="h",-1,IF(Y34="k",0,IF(Y34="w",-1,0))))</f>
        <v>0</v>
      </c>
      <c r="BK34" s="6">
        <f t="shared" ref="BK34:BK35" si="63">IF(Z$38="ja",0,IF(Z34="h",-1,IF(Z34="k",0,IF(Z34="w",-1,0))))</f>
        <v>0</v>
      </c>
      <c r="BL34" s="6">
        <f t="shared" ref="BL34:BL35" si="64">IF(AA$38="ja",0,IF(AA34="h",-1,IF(AA34="k",0,IF(AA34="w",-1,0))))</f>
        <v>0</v>
      </c>
      <c r="BM34" s="6">
        <f t="shared" ref="BM34:BM35" si="65">SUM(AN34:BL34)</f>
        <v>0</v>
      </c>
    </row>
    <row r="35" spans="1:65" x14ac:dyDescent="0.25">
      <c r="A35" s="3">
        <v>29</v>
      </c>
      <c r="B35" s="8" t="s">
        <v>133</v>
      </c>
      <c r="C35" s="9"/>
      <c r="D35" s="191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45"/>
      <c r="Y35" s="45"/>
      <c r="Z35" s="45"/>
      <c r="AA35" s="9"/>
      <c r="AB35" s="105">
        <f t="shared" si="33"/>
        <v>0</v>
      </c>
      <c r="AC35" s="101">
        <f t="shared" si="34"/>
        <v>0</v>
      </c>
      <c r="AD35" s="101">
        <f t="shared" si="35"/>
        <v>0</v>
      </c>
      <c r="AE35" s="101">
        <f t="shared" si="36"/>
        <v>0</v>
      </c>
      <c r="AF35" s="101">
        <f t="shared" si="37"/>
        <v>0</v>
      </c>
      <c r="AG35" s="102" t="e">
        <f t="shared" si="38"/>
        <v>#DIV/0!</v>
      </c>
      <c r="AH35" s="6"/>
      <c r="AI35" s="6"/>
      <c r="AK35" s="195">
        <f t="shared" si="39"/>
        <v>0</v>
      </c>
      <c r="AN35" s="6">
        <f t="shared" si="40"/>
        <v>0</v>
      </c>
      <c r="AO35" s="6">
        <f t="shared" si="41"/>
        <v>0</v>
      </c>
      <c r="AP35" s="6">
        <f t="shared" si="42"/>
        <v>0</v>
      </c>
      <c r="AQ35" s="6">
        <f t="shared" si="43"/>
        <v>0</v>
      </c>
      <c r="AR35" s="6">
        <f t="shared" si="44"/>
        <v>0</v>
      </c>
      <c r="AS35" s="6">
        <f t="shared" si="45"/>
        <v>0</v>
      </c>
      <c r="AT35" s="6">
        <f t="shared" si="46"/>
        <v>0</v>
      </c>
      <c r="AU35" s="6">
        <f t="shared" si="47"/>
        <v>0</v>
      </c>
      <c r="AV35" s="6">
        <f t="shared" si="48"/>
        <v>0</v>
      </c>
      <c r="AW35" s="6">
        <f t="shared" si="49"/>
        <v>0</v>
      </c>
      <c r="AX35" s="6">
        <f t="shared" si="50"/>
        <v>0</v>
      </c>
      <c r="AY35" s="6">
        <f t="shared" si="51"/>
        <v>0</v>
      </c>
      <c r="AZ35" s="6">
        <f t="shared" si="52"/>
        <v>0</v>
      </c>
      <c r="BA35" s="6">
        <f t="shared" si="53"/>
        <v>0</v>
      </c>
      <c r="BB35" s="6">
        <f t="shared" si="54"/>
        <v>0</v>
      </c>
      <c r="BC35" s="6">
        <f t="shared" si="55"/>
        <v>0</v>
      </c>
      <c r="BD35" s="6">
        <f t="shared" si="56"/>
        <v>0</v>
      </c>
      <c r="BE35" s="6">
        <f t="shared" si="57"/>
        <v>0</v>
      </c>
      <c r="BF35" s="6">
        <f t="shared" si="58"/>
        <v>0</v>
      </c>
      <c r="BG35" s="6">
        <f t="shared" si="59"/>
        <v>0</v>
      </c>
      <c r="BH35" s="6">
        <f t="shared" si="60"/>
        <v>0</v>
      </c>
      <c r="BI35" s="6">
        <f t="shared" si="61"/>
        <v>0</v>
      </c>
      <c r="BJ35" s="6">
        <f t="shared" si="62"/>
        <v>0</v>
      </c>
      <c r="BK35" s="6">
        <f t="shared" si="63"/>
        <v>0</v>
      </c>
      <c r="BL35" s="6">
        <f t="shared" si="64"/>
        <v>0</v>
      </c>
      <c r="BM35" s="6">
        <f t="shared" si="65"/>
        <v>0</v>
      </c>
    </row>
    <row r="36" spans="1:65" x14ac:dyDescent="0.25">
      <c r="A36" s="3"/>
      <c r="B36" s="7"/>
      <c r="C36" s="82">
        <f t="shared" ref="C36:AA36" si="66">SUM(COUNTIF(C7:C35,"h"),COUNTIF(C7:C35,"w"),COUNTIF(C7:C35,"k"))</f>
        <v>8</v>
      </c>
      <c r="D36" s="82">
        <f t="shared" si="66"/>
        <v>11</v>
      </c>
      <c r="E36" s="82">
        <f t="shared" si="66"/>
        <v>8</v>
      </c>
      <c r="F36" s="82">
        <f t="shared" si="66"/>
        <v>11</v>
      </c>
      <c r="G36" s="82">
        <f t="shared" si="66"/>
        <v>10</v>
      </c>
      <c r="H36" s="82">
        <f t="shared" si="66"/>
        <v>10</v>
      </c>
      <c r="I36" s="82">
        <f t="shared" si="66"/>
        <v>9</v>
      </c>
      <c r="J36" s="82">
        <f t="shared" si="66"/>
        <v>10</v>
      </c>
      <c r="K36" s="82">
        <f t="shared" si="66"/>
        <v>9</v>
      </c>
      <c r="L36" s="82">
        <f t="shared" si="66"/>
        <v>11</v>
      </c>
      <c r="M36" s="82">
        <f t="shared" si="66"/>
        <v>7</v>
      </c>
      <c r="N36" s="82">
        <f t="shared" si="66"/>
        <v>9</v>
      </c>
      <c r="O36" s="82">
        <f t="shared" si="66"/>
        <v>9</v>
      </c>
      <c r="P36" s="82">
        <f t="shared" si="66"/>
        <v>9</v>
      </c>
      <c r="Q36" s="82">
        <f t="shared" si="66"/>
        <v>8</v>
      </c>
      <c r="R36" s="82">
        <f t="shared" si="66"/>
        <v>11</v>
      </c>
      <c r="S36" s="82">
        <f t="shared" si="66"/>
        <v>0</v>
      </c>
      <c r="T36" s="82">
        <f t="shared" si="66"/>
        <v>11</v>
      </c>
      <c r="U36" s="82">
        <f t="shared" si="66"/>
        <v>8</v>
      </c>
      <c r="V36" s="82">
        <f t="shared" si="66"/>
        <v>11</v>
      </c>
      <c r="W36" s="82">
        <f t="shared" si="66"/>
        <v>11</v>
      </c>
      <c r="X36" s="43">
        <f t="shared" si="66"/>
        <v>8</v>
      </c>
      <c r="Y36" s="82">
        <f t="shared" si="66"/>
        <v>9</v>
      </c>
      <c r="Z36" s="43">
        <f t="shared" si="66"/>
        <v>9</v>
      </c>
      <c r="AA36" s="82">
        <f t="shared" si="66"/>
        <v>0</v>
      </c>
      <c r="AB36" s="105">
        <f t="shared" ref="AB36" si="67">SUM(COUNTIF(C36:AA36,"h"),COUNTIF(C36:AA36,"w"),COUNTIF(C36:AA36,"k"),COUNTIF(C36:AA36,"t"))</f>
        <v>0</v>
      </c>
      <c r="AC36" s="101">
        <f t="shared" ref="AC36" si="68">COUNTIF(C36:AA36,"w")</f>
        <v>0</v>
      </c>
      <c r="AD36" s="142"/>
      <c r="AF36" s="133"/>
      <c r="AG36" s="90"/>
      <c r="AH36" s="6"/>
      <c r="AI36" s="6"/>
      <c r="AK36" s="197"/>
    </row>
    <row r="37" spans="1:65" x14ac:dyDescent="0.25">
      <c r="A37" s="7"/>
      <c r="AC37" s="143"/>
      <c r="AD37" s="143"/>
      <c r="AF37" s="133"/>
      <c r="AG37" s="91"/>
      <c r="AH37" s="6"/>
      <c r="AI37" s="6"/>
      <c r="AK37" s="196"/>
    </row>
    <row r="38" spans="1:65" x14ac:dyDescent="0.25">
      <c r="A38" s="7"/>
      <c r="B38" s="7" t="s">
        <v>83</v>
      </c>
      <c r="C38" s="134" t="str">
        <f t="shared" ref="C38:AA38" si="69">IF(C36&gt;10,"ja","nee")</f>
        <v>nee</v>
      </c>
      <c r="D38" s="134" t="str">
        <f t="shared" si="69"/>
        <v>ja</v>
      </c>
      <c r="E38" s="134" t="str">
        <f t="shared" si="69"/>
        <v>nee</v>
      </c>
      <c r="F38" s="134" t="str">
        <f t="shared" si="69"/>
        <v>ja</v>
      </c>
      <c r="G38" s="134" t="str">
        <f t="shared" si="69"/>
        <v>nee</v>
      </c>
      <c r="H38" s="134" t="str">
        <f t="shared" si="69"/>
        <v>nee</v>
      </c>
      <c r="I38" s="134" t="str">
        <f t="shared" si="69"/>
        <v>nee</v>
      </c>
      <c r="J38" s="134" t="str">
        <f t="shared" si="69"/>
        <v>nee</v>
      </c>
      <c r="K38" s="134" t="str">
        <f t="shared" si="69"/>
        <v>nee</v>
      </c>
      <c r="L38" s="134" t="str">
        <f t="shared" si="69"/>
        <v>ja</v>
      </c>
      <c r="M38" s="134" t="str">
        <f t="shared" si="69"/>
        <v>nee</v>
      </c>
      <c r="N38" s="134" t="str">
        <f t="shared" si="69"/>
        <v>nee</v>
      </c>
      <c r="O38" s="134" t="str">
        <f>IF(O36&gt;10,"ja","nee")</f>
        <v>nee</v>
      </c>
      <c r="P38" s="134" t="str">
        <f t="shared" si="69"/>
        <v>nee</v>
      </c>
      <c r="Q38" s="134" t="str">
        <f t="shared" si="69"/>
        <v>nee</v>
      </c>
      <c r="R38" s="134" t="str">
        <f t="shared" si="69"/>
        <v>ja</v>
      </c>
      <c r="S38" s="134" t="str">
        <f t="shared" si="69"/>
        <v>nee</v>
      </c>
      <c r="T38" s="134" t="str">
        <f t="shared" si="69"/>
        <v>ja</v>
      </c>
      <c r="U38" s="134" t="str">
        <f t="shared" si="69"/>
        <v>nee</v>
      </c>
      <c r="V38" s="134" t="str">
        <f t="shared" si="69"/>
        <v>ja</v>
      </c>
      <c r="W38" s="134" t="str">
        <f t="shared" si="69"/>
        <v>ja</v>
      </c>
      <c r="X38" s="134" t="str">
        <f t="shared" si="69"/>
        <v>nee</v>
      </c>
      <c r="Y38" s="134" t="str">
        <f t="shared" si="69"/>
        <v>nee</v>
      </c>
      <c r="Z38" s="134" t="str">
        <f t="shared" si="69"/>
        <v>nee</v>
      </c>
      <c r="AA38" s="134" t="str">
        <f t="shared" si="69"/>
        <v>nee</v>
      </c>
      <c r="AB38" s="105">
        <f>SUM(AB7:AB35)</f>
        <v>237</v>
      </c>
      <c r="AC38" s="6"/>
      <c r="AD38" s="6"/>
      <c r="AF38" s="133"/>
      <c r="AG38" s="6"/>
      <c r="AH38" s="6"/>
      <c r="AI38" s="6"/>
      <c r="AJ38" s="65" t="s">
        <v>84</v>
      </c>
      <c r="AK38" s="195">
        <f>SUM(AK7:AK35)</f>
        <v>217</v>
      </c>
    </row>
    <row r="39" spans="1:65" x14ac:dyDescent="0.25">
      <c r="A39" s="7"/>
      <c r="B39" s="7"/>
      <c r="C39" s="7"/>
      <c r="D39" s="7"/>
      <c r="E39" s="19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65" x14ac:dyDescent="0.25">
      <c r="A40" s="7"/>
      <c r="C40" s="7"/>
      <c r="D40" s="7"/>
      <c r="E40" s="173" t="s">
        <v>85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65" x14ac:dyDescent="0.25">
      <c r="A41" s="7"/>
      <c r="B41" s="19"/>
      <c r="C41" s="7"/>
      <c r="D41" s="7"/>
      <c r="E41" s="174" t="s">
        <v>278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65" x14ac:dyDescent="0.25">
      <c r="A42" s="7"/>
      <c r="B42" s="172" t="s">
        <v>87</v>
      </c>
      <c r="C42" s="20">
        <v>8</v>
      </c>
      <c r="D42" s="7"/>
      <c r="F42" s="6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65" x14ac:dyDescent="0.25">
      <c r="A43" s="7"/>
      <c r="B43" s="22" t="s">
        <v>88</v>
      </c>
      <c r="C43" s="20">
        <v>10</v>
      </c>
      <c r="D43" s="7"/>
      <c r="E43" s="51" t="s">
        <v>89</v>
      </c>
      <c r="F43" s="141" t="s">
        <v>48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65" ht="13.8" thickBot="1" x14ac:dyDescent="0.3">
      <c r="A44" s="7"/>
      <c r="B44" s="15" t="s">
        <v>90</v>
      </c>
      <c r="C44" s="23">
        <v>5</v>
      </c>
      <c r="D44" s="7"/>
      <c r="E44" s="175" t="s">
        <v>30</v>
      </c>
      <c r="F44" s="139" t="s">
        <v>74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65" ht="13.8" thickBot="1" x14ac:dyDescent="0.3">
      <c r="A45" s="7"/>
      <c r="B45" s="7"/>
      <c r="C45" s="24">
        <f>SUM(C42:C44)</f>
        <v>23</v>
      </c>
      <c r="D45" s="7"/>
      <c r="E45" s="176" t="s">
        <v>92</v>
      </c>
      <c r="F45" s="138" t="s">
        <v>50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65" x14ac:dyDescent="0.25">
      <c r="A46" s="7"/>
      <c r="B46" s="7"/>
      <c r="C46" s="7"/>
      <c r="D46" s="7"/>
      <c r="E46" s="177" t="s">
        <v>93</v>
      </c>
      <c r="F46" s="12">
        <v>1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65" x14ac:dyDescent="0.25">
      <c r="A47" s="7"/>
      <c r="B47" s="7"/>
      <c r="C47" s="7"/>
      <c r="D47" s="7"/>
      <c r="E47" s="178" t="s">
        <v>32</v>
      </c>
      <c r="F47" s="136" t="s">
        <v>52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65" x14ac:dyDescent="0.25">
      <c r="E48" s="179" t="s">
        <v>94</v>
      </c>
      <c r="F48" s="135">
        <v>1</v>
      </c>
      <c r="H48" s="1"/>
    </row>
    <row r="49" spans="5:6" x14ac:dyDescent="0.25">
      <c r="E49" s="65"/>
      <c r="F49" s="3"/>
    </row>
    <row r="50" spans="5:6" x14ac:dyDescent="0.25">
      <c r="E50" s="182" t="s">
        <v>87</v>
      </c>
      <c r="F50" s="6"/>
    </row>
    <row r="51" spans="5:6" x14ac:dyDescent="0.25">
      <c r="E51" s="180" t="s">
        <v>88</v>
      </c>
      <c r="F51" s="6"/>
    </row>
    <row r="52" spans="5:6" x14ac:dyDescent="0.25">
      <c r="E52" s="181" t="s">
        <v>95</v>
      </c>
      <c r="F52" s="6"/>
    </row>
    <row r="53" spans="5:6" x14ac:dyDescent="0.25">
      <c r="E53" s="183" t="s">
        <v>91</v>
      </c>
      <c r="F53" s="6"/>
    </row>
  </sheetData>
  <sortState xmlns:xlrd2="http://schemas.microsoft.com/office/spreadsheetml/2017/richdata2" ref="B7:BM33">
    <sortCondition descending="1" ref="AB7:AB33"/>
  </sortState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40AC-AB2A-49A6-A7D3-2591BD7FEA04}">
  <dimension ref="A1:BO54"/>
  <sheetViews>
    <sheetView topLeftCell="B1" zoomScale="70" zoomScaleNormal="70" workbookViewId="0">
      <selection activeCell="C7" sqref="C7:AA34"/>
    </sheetView>
  </sheetViews>
  <sheetFormatPr defaultColWidth="9.109375" defaultRowHeight="13.2" x14ac:dyDescent="0.25"/>
  <cols>
    <col min="2" max="2" width="26.33203125" customWidth="1"/>
    <col min="3" max="32" width="9.109375" customWidth="1"/>
  </cols>
  <sheetData>
    <row r="1" spans="1:67" x14ac:dyDescent="0.25">
      <c r="C1" t="s">
        <v>296</v>
      </c>
      <c r="D1" t="s">
        <v>297</v>
      </c>
      <c r="E1" t="s">
        <v>50</v>
      </c>
      <c r="F1" t="s">
        <v>297</v>
      </c>
      <c r="G1" t="s">
        <v>50</v>
      </c>
      <c r="H1" t="s">
        <v>50</v>
      </c>
      <c r="I1" t="s">
        <v>297</v>
      </c>
      <c r="J1" t="s">
        <v>50</v>
      </c>
      <c r="K1" t="s">
        <v>50</v>
      </c>
      <c r="L1" t="s">
        <v>297</v>
      </c>
      <c r="M1" t="s">
        <v>50</v>
      </c>
      <c r="N1" t="s">
        <v>296</v>
      </c>
      <c r="O1" t="s">
        <v>50</v>
      </c>
      <c r="P1" t="s">
        <v>50</v>
      </c>
      <c r="Q1" t="s">
        <v>50</v>
      </c>
      <c r="R1" t="s">
        <v>50</v>
      </c>
      <c r="S1" t="s">
        <v>296</v>
      </c>
      <c r="T1" t="s">
        <v>50</v>
      </c>
      <c r="U1" t="s">
        <v>298</v>
      </c>
      <c r="V1" t="s">
        <v>296</v>
      </c>
    </row>
    <row r="2" spans="1:67" x14ac:dyDescent="0.25">
      <c r="C2" t="s">
        <v>52</v>
      </c>
      <c r="D2" t="s">
        <v>295</v>
      </c>
      <c r="E2" t="s">
        <v>52</v>
      </c>
      <c r="F2" t="s">
        <v>295</v>
      </c>
      <c r="G2" t="s">
        <v>52</v>
      </c>
      <c r="H2" t="s">
        <v>295</v>
      </c>
      <c r="I2" t="s">
        <v>52</v>
      </c>
      <c r="J2" t="s">
        <v>295</v>
      </c>
      <c r="K2" t="s">
        <v>295</v>
      </c>
      <c r="L2" t="s">
        <v>52</v>
      </c>
      <c r="M2" t="s">
        <v>295</v>
      </c>
      <c r="N2" t="s">
        <v>295</v>
      </c>
      <c r="O2" t="s">
        <v>295</v>
      </c>
      <c r="P2" t="s">
        <v>295</v>
      </c>
      <c r="Q2" t="s">
        <v>52</v>
      </c>
      <c r="R2" t="s">
        <v>52</v>
      </c>
      <c r="S2" t="s">
        <v>295</v>
      </c>
      <c r="T2" t="s">
        <v>52</v>
      </c>
      <c r="U2" t="s">
        <v>52</v>
      </c>
      <c r="V2" t="s">
        <v>52</v>
      </c>
    </row>
    <row r="3" spans="1:67" ht="48" customHeight="1" x14ac:dyDescent="0.25">
      <c r="A3" s="3"/>
      <c r="B3" s="4"/>
      <c r="C3" s="58" t="s">
        <v>158</v>
      </c>
      <c r="D3" s="73" t="s">
        <v>197</v>
      </c>
      <c r="E3" s="62" t="s">
        <v>0</v>
      </c>
      <c r="F3" s="73" t="s">
        <v>13</v>
      </c>
      <c r="G3" s="62" t="s">
        <v>263</v>
      </c>
      <c r="H3" s="62" t="s">
        <v>198</v>
      </c>
      <c r="I3" s="73" t="s">
        <v>1</v>
      </c>
      <c r="J3" s="62" t="s">
        <v>3</v>
      </c>
      <c r="K3" s="62" t="s">
        <v>157</v>
      </c>
      <c r="L3" s="73" t="s">
        <v>1</v>
      </c>
      <c r="M3" s="62" t="s">
        <v>279</v>
      </c>
      <c r="N3" s="58" t="s">
        <v>5</v>
      </c>
      <c r="O3" s="62" t="s">
        <v>280</v>
      </c>
      <c r="P3" s="62" t="s">
        <v>4</v>
      </c>
      <c r="Q3" s="62" t="s">
        <v>2</v>
      </c>
      <c r="R3" s="62" t="s">
        <v>198</v>
      </c>
      <c r="S3" s="58" t="s">
        <v>7</v>
      </c>
      <c r="T3" s="62" t="s">
        <v>152</v>
      </c>
      <c r="U3" s="155" t="s">
        <v>6</v>
      </c>
      <c r="V3" s="58" t="s">
        <v>241</v>
      </c>
      <c r="W3" s="147"/>
      <c r="X3" s="147"/>
      <c r="Y3" s="147"/>
      <c r="Z3" s="147"/>
      <c r="AA3" s="147"/>
      <c r="AB3" s="5"/>
      <c r="AC3" s="6"/>
      <c r="AD3" s="6"/>
      <c r="AE3" s="6"/>
      <c r="AF3" s="6"/>
      <c r="AG3" s="6"/>
      <c r="AH3" s="6"/>
      <c r="AI3" s="6"/>
      <c r="AJ3" s="6"/>
    </row>
    <row r="4" spans="1:67" ht="106.8" x14ac:dyDescent="0.25">
      <c r="A4" s="3"/>
      <c r="B4" s="7"/>
      <c r="C4" s="80" t="s">
        <v>20</v>
      </c>
      <c r="D4" s="79" t="s">
        <v>281</v>
      </c>
      <c r="E4" s="80" t="s">
        <v>282</v>
      </c>
      <c r="F4" s="79" t="s">
        <v>206</v>
      </c>
      <c r="G4" s="80" t="s">
        <v>256</v>
      </c>
      <c r="H4" s="79" t="s">
        <v>268</v>
      </c>
      <c r="I4" s="80" t="s">
        <v>253</v>
      </c>
      <c r="J4" s="79" t="s">
        <v>253</v>
      </c>
      <c r="K4" s="79" t="s">
        <v>249</v>
      </c>
      <c r="L4" s="80" t="s">
        <v>21</v>
      </c>
      <c r="M4" s="79" t="s">
        <v>258</v>
      </c>
      <c r="N4" s="79" t="s">
        <v>20</v>
      </c>
      <c r="O4" s="79" t="s">
        <v>282</v>
      </c>
      <c r="P4" s="79" t="s">
        <v>256</v>
      </c>
      <c r="Q4" s="80" t="s">
        <v>268</v>
      </c>
      <c r="R4" s="80" t="s">
        <v>249</v>
      </c>
      <c r="S4" s="79" t="s">
        <v>21</v>
      </c>
      <c r="T4" s="80" t="s">
        <v>258</v>
      </c>
      <c r="U4" s="80" t="s">
        <v>206</v>
      </c>
      <c r="V4" s="80" t="s">
        <v>281</v>
      </c>
      <c r="W4" s="79"/>
      <c r="X4" s="79"/>
      <c r="Y4" s="79"/>
      <c r="Z4" s="79"/>
      <c r="AA4" s="79"/>
      <c r="AC4" s="100" t="s">
        <v>29</v>
      </c>
      <c r="AD4" s="100" t="s">
        <v>30</v>
      </c>
      <c r="AE4" s="100" t="s">
        <v>31</v>
      </c>
      <c r="AF4" s="100" t="s">
        <v>32</v>
      </c>
      <c r="AG4" s="100" t="s">
        <v>33</v>
      </c>
      <c r="AK4" s="100" t="s">
        <v>34</v>
      </c>
      <c r="AN4" s="80" t="str">
        <f>C4</f>
        <v>Katastroof</v>
      </c>
      <c r="AO4" s="80" t="str">
        <f t="shared" ref="AO4:BG4" si="0">D4</f>
        <v>Den 144</v>
      </c>
      <c r="AP4" s="80" t="str">
        <f t="shared" si="0"/>
        <v>FCK '89</v>
      </c>
      <c r="AQ4" s="80" t="str">
        <f t="shared" si="0"/>
        <v>Lunatics</v>
      </c>
      <c r="AR4" s="80" t="str">
        <f t="shared" si="0"/>
        <v>De Pelikaan</v>
      </c>
      <c r="AS4" s="80" t="str">
        <f t="shared" si="0"/>
        <v>Benne 1980 A</v>
      </c>
      <c r="AT4" s="80" t="str">
        <f t="shared" si="0"/>
        <v>Brik Pele</v>
      </c>
      <c r="AU4" s="80" t="str">
        <f t="shared" si="0"/>
        <v>Brik Pele</v>
      </c>
      <c r="AV4" s="80" t="str">
        <f t="shared" si="0"/>
        <v>Amber E</v>
      </c>
      <c r="AW4" s="80" t="str">
        <f t="shared" si="0"/>
        <v>Sporting Olympia</v>
      </c>
      <c r="AX4" s="80" t="str">
        <f t="shared" si="0"/>
        <v>Sava B</v>
      </c>
      <c r="AY4" s="80" t="str">
        <f t="shared" si="0"/>
        <v>Katastroof</v>
      </c>
      <c r="AZ4" s="80" t="str">
        <f t="shared" si="0"/>
        <v>FCK '89</v>
      </c>
      <c r="BA4" s="80" t="str">
        <f t="shared" si="0"/>
        <v>De Pelikaan</v>
      </c>
      <c r="BB4" s="80" t="str">
        <f t="shared" si="0"/>
        <v>Benne 1980 A</v>
      </c>
      <c r="BC4" s="80" t="str">
        <f t="shared" si="0"/>
        <v>Amber E</v>
      </c>
      <c r="BD4" s="80" t="str">
        <f t="shared" si="0"/>
        <v>Sporting Olympia</v>
      </c>
      <c r="BE4" s="80" t="str">
        <f t="shared" si="0"/>
        <v>Sava B</v>
      </c>
      <c r="BF4" s="80" t="str">
        <f t="shared" si="0"/>
        <v>Lunatics</v>
      </c>
      <c r="BG4" s="80" t="str">
        <f t="shared" si="0"/>
        <v>Den 144</v>
      </c>
      <c r="BH4" s="79" t="s">
        <v>35</v>
      </c>
      <c r="BI4" s="79" t="s">
        <v>35</v>
      </c>
      <c r="BJ4" s="79" t="s">
        <v>36</v>
      </c>
      <c r="BK4" s="79" t="s">
        <v>37</v>
      </c>
      <c r="BL4" s="79" t="s">
        <v>38</v>
      </c>
    </row>
    <row r="5" spans="1:67" ht="51.6" customHeight="1" x14ac:dyDescent="0.25">
      <c r="A5" s="3"/>
      <c r="B5" s="46" t="s">
        <v>39</v>
      </c>
      <c r="C5" s="75">
        <v>45178</v>
      </c>
      <c r="D5" s="76">
        <v>45185</v>
      </c>
      <c r="E5" s="75">
        <v>45192</v>
      </c>
      <c r="F5" s="76">
        <v>45199</v>
      </c>
      <c r="G5" s="75">
        <v>45206</v>
      </c>
      <c r="H5" s="76">
        <v>45213</v>
      </c>
      <c r="I5" s="75">
        <v>45220</v>
      </c>
      <c r="J5" s="75">
        <v>45227</v>
      </c>
      <c r="K5" s="75">
        <v>45241</v>
      </c>
      <c r="L5" s="76">
        <v>45248</v>
      </c>
      <c r="M5" s="75">
        <v>45255</v>
      </c>
      <c r="N5" s="76">
        <v>45269</v>
      </c>
      <c r="O5" s="76">
        <v>45304</v>
      </c>
      <c r="P5" s="76">
        <v>45318</v>
      </c>
      <c r="Q5" s="75">
        <v>45325</v>
      </c>
      <c r="R5" s="76">
        <v>45353</v>
      </c>
      <c r="S5" s="76">
        <v>45360</v>
      </c>
      <c r="T5" s="76">
        <v>45367</v>
      </c>
      <c r="U5" s="76">
        <v>45374</v>
      </c>
      <c r="V5" s="75">
        <v>45381</v>
      </c>
      <c r="W5" s="76"/>
      <c r="X5" s="76"/>
      <c r="Y5" s="76"/>
      <c r="Z5" s="76"/>
      <c r="AA5" s="76"/>
      <c r="AB5" s="5"/>
      <c r="AC5" s="6"/>
      <c r="AD5" s="6"/>
      <c r="AE5" s="6"/>
      <c r="AF5" s="6"/>
      <c r="AG5" s="6"/>
      <c r="AH5" s="6"/>
      <c r="AI5" s="6"/>
      <c r="AN5" s="6"/>
    </row>
    <row r="6" spans="1:67" ht="38.4" x14ac:dyDescent="0.25">
      <c r="A6" s="3"/>
      <c r="B6" s="156"/>
      <c r="C6" s="157" t="s">
        <v>42</v>
      </c>
      <c r="D6" s="157" t="s">
        <v>42</v>
      </c>
      <c r="E6" s="157" t="s">
        <v>42</v>
      </c>
      <c r="F6" s="158" t="s">
        <v>42</v>
      </c>
      <c r="G6" s="158" t="s">
        <v>42</v>
      </c>
      <c r="H6" s="158" t="s">
        <v>283</v>
      </c>
      <c r="I6" s="158" t="s">
        <v>42</v>
      </c>
      <c r="J6" s="158" t="s">
        <v>277</v>
      </c>
      <c r="K6" s="158" t="s">
        <v>44</v>
      </c>
      <c r="L6" s="158" t="s">
        <v>42</v>
      </c>
      <c r="M6" s="158" t="s">
        <v>44</v>
      </c>
      <c r="N6" s="158" t="s">
        <v>42</v>
      </c>
      <c r="O6" s="158" t="s">
        <v>45</v>
      </c>
      <c r="P6" s="158" t="s">
        <v>42</v>
      </c>
      <c r="Q6" s="157" t="s">
        <v>42</v>
      </c>
      <c r="R6" s="158" t="s">
        <v>42</v>
      </c>
      <c r="S6" s="158" t="s">
        <v>42</v>
      </c>
      <c r="T6" s="158" t="s">
        <v>42</v>
      </c>
      <c r="U6" s="158" t="s">
        <v>42</v>
      </c>
      <c r="V6" s="157" t="s">
        <v>42</v>
      </c>
      <c r="W6" s="76"/>
      <c r="X6" s="76"/>
      <c r="Y6" s="76"/>
      <c r="Z6" s="76"/>
      <c r="AA6" s="76"/>
      <c r="AB6" s="5"/>
      <c r="AC6" s="6"/>
      <c r="AD6" s="6"/>
      <c r="AE6" s="6"/>
      <c r="AF6" s="6"/>
      <c r="AG6" s="6"/>
      <c r="AH6" s="6"/>
      <c r="AI6" s="6"/>
      <c r="AN6" s="6"/>
    </row>
    <row r="7" spans="1:67" x14ac:dyDescent="0.25">
      <c r="A7" s="3">
        <v>1</v>
      </c>
      <c r="B7" s="8" t="s">
        <v>72</v>
      </c>
      <c r="C7" s="9"/>
      <c r="D7" s="191"/>
      <c r="E7" s="9" t="s">
        <v>48</v>
      </c>
      <c r="F7" s="9"/>
      <c r="G7" s="9"/>
      <c r="H7" s="9"/>
      <c r="I7" s="9"/>
      <c r="J7" s="9"/>
      <c r="K7" s="9"/>
      <c r="L7" s="9" t="s">
        <v>48</v>
      </c>
      <c r="M7" s="9"/>
      <c r="N7" s="9"/>
      <c r="O7" s="9"/>
      <c r="P7" s="9"/>
      <c r="Q7" s="9"/>
      <c r="R7" s="9"/>
      <c r="S7" s="9"/>
      <c r="T7" s="9"/>
      <c r="U7" s="9"/>
      <c r="V7" s="9"/>
      <c r="W7" s="45"/>
      <c r="X7" s="45"/>
      <c r="Y7" s="45"/>
      <c r="Z7" s="45"/>
      <c r="AA7" s="45"/>
      <c r="AB7" s="105">
        <f t="shared" ref="AB7:AB36" si="1">SUM(COUNTIF(C7:AA7,"h"),COUNTIF(C7:AA7,"w"),COUNTIF(C7:AA7,"k"),COUNTIF(C7:AA7,"t"))</f>
        <v>2</v>
      </c>
      <c r="AC7" s="101">
        <f t="shared" ref="AC7:AC36" si="2">COUNTIF(C7:AA7,"w")</f>
        <v>0</v>
      </c>
      <c r="AD7" s="101">
        <f t="shared" ref="AD7:AD35" si="3">COUNTIF(C7:AA7,"k")</f>
        <v>0</v>
      </c>
      <c r="AE7" s="101">
        <f t="shared" ref="AE7:AE35" si="4">BM7</f>
        <v>0</v>
      </c>
      <c r="AF7" s="101">
        <f t="shared" ref="AF7:AF35" si="5">COUNTIF(C7:AA7,"t")</f>
        <v>0</v>
      </c>
      <c r="AG7" s="102">
        <f t="shared" ref="AG7:AG35" si="6">(AC7/(AB7+AE7-AF7-AD7))*100</f>
        <v>0</v>
      </c>
      <c r="AK7" s="195">
        <f t="shared" ref="AK7:AK35" si="7">AB7-AF7</f>
        <v>2</v>
      </c>
      <c r="AN7" s="6">
        <f t="shared" ref="AN7" si="8">IF(C$38="ja",0,IF(C7="h",-1,IF(C7="k",0,IF(C7="w",-1,0))))</f>
        <v>0</v>
      </c>
      <c r="AO7" s="6">
        <f t="shared" ref="AO7" si="9">IF(D$38="ja",0,IF(D7="h",-1,IF(D7="k",0,IF(D7="w",-1,0))))</f>
        <v>0</v>
      </c>
      <c r="AP7" s="6">
        <f t="shared" ref="AP7" si="10">IF(E$38="ja",0,IF(E7="h",-1,IF(E7="k",0,IF(E7="w",-1,0))))</f>
        <v>0</v>
      </c>
      <c r="AQ7" s="6">
        <f t="shared" ref="AQ7" si="11">IF(F$38="ja",0,IF(F7="h",-1,IF(F7="k",0,IF(F7="w",-1,0))))</f>
        <v>0</v>
      </c>
      <c r="AR7" s="6">
        <f t="shared" ref="AR7" si="12">IF(G$38="ja",0,IF(G7="h",-1,IF(G7="k",0,IF(G7="w",-1,0))))</f>
        <v>0</v>
      </c>
      <c r="AS7" s="6">
        <f t="shared" ref="AS7" si="13">IF(H$38="ja",0,IF(H7="h",-1,IF(H7="k",0,IF(H7="w",-1,0))))</f>
        <v>0</v>
      </c>
      <c r="AT7" s="6">
        <f t="shared" ref="AT7" si="14">IF(I$38="ja",0,IF(I7="h",-1,IF(I7="k",0,IF(I7="w",-1,0))))</f>
        <v>0</v>
      </c>
      <c r="AU7" s="6">
        <f t="shared" ref="AU7" si="15">IF(J$38="ja",0,IF(J7="h",-1,IF(J7="k",0,IF(J7="w",-1,0))))</f>
        <v>0</v>
      </c>
      <c r="AV7" s="6">
        <f t="shared" ref="AV7" si="16">IF(K$38="ja",0,IF(K7="h",-1,IF(K7="k",0,IF(K7="w",-1,0))))</f>
        <v>0</v>
      </c>
      <c r="AW7" s="6">
        <f t="shared" ref="AW7" si="17">IF(L$38="ja",0,IF(L7="h",-1,IF(L7="k",0,IF(L7="w",-1,0))))</f>
        <v>-1</v>
      </c>
      <c r="AX7" s="6">
        <f t="shared" ref="AX7" si="18">IF(M$38="ja",0,IF(M7="h",-1,IF(M7="k",0,IF(M7="w",-1,0))))</f>
        <v>0</v>
      </c>
      <c r="AY7" s="6">
        <f t="shared" ref="AY7" si="19">IF(N$38="ja",0,IF(N7="h",-1,IF(N7="k",0,IF(N7="w",-1,0))))</f>
        <v>0</v>
      </c>
      <c r="AZ7" s="6">
        <f t="shared" ref="AZ7" si="20">IF(O$38="ja",0,IF(O7="h",-1,IF(O7="k",0,IF(O7="w",-1,0))))</f>
        <v>0</v>
      </c>
      <c r="BA7" s="6">
        <f t="shared" ref="BA7" si="21">IF(P$38="ja",0,IF(P7="h",-1,IF(P7="k",0,IF(P7="w",-1,0))))</f>
        <v>0</v>
      </c>
      <c r="BB7" s="6">
        <f t="shared" ref="BB7" si="22">IF(Q$38="ja",0,IF(Q7="h",-1,IF(Q7="k",0,IF(Q7="w",-1,0))))</f>
        <v>0</v>
      </c>
      <c r="BC7" s="6">
        <f t="shared" ref="BC7" si="23">IF(R$38="ja",0,IF(R7="h",-1,IF(R7="k",0,IF(R7="w",-1,0))))</f>
        <v>0</v>
      </c>
      <c r="BD7" s="6">
        <f t="shared" ref="BD7" si="24">IF(S$38="ja",0,IF(S7="h",-1,IF(S7="k",0,IF(S7="w",-1,0))))</f>
        <v>0</v>
      </c>
      <c r="BE7" s="6">
        <f t="shared" ref="BE7" si="25">IF(T$38="ja",0,IF(T7="h",-1,IF(T7="k",0,IF(T7="w",-1,0))))</f>
        <v>0</v>
      </c>
      <c r="BF7" s="6">
        <f t="shared" ref="BF7" si="26">IF(U$38="ja",0,IF(U7="h",-1,IF(U7="k",0,IF(U7="w",-1,0))))</f>
        <v>0</v>
      </c>
      <c r="BG7" s="6">
        <f t="shared" ref="BG7" si="27">IF(V$38="ja",0,IF(V7="h",-1,IF(V7="k",0,IF(V7="w",-1,0))))</f>
        <v>0</v>
      </c>
      <c r="BH7" s="6">
        <f t="shared" ref="BH7" si="28">IF(W$38="ja",0,IF(W7="h",-1,IF(W7="k",0,IF(W7="w",-1,0))))</f>
        <v>0</v>
      </c>
      <c r="BI7" s="6">
        <f t="shared" ref="BI7" si="29">IF(X$38="ja",0,IF(X7="h",-1,IF(X7="k",0,IF(X7="w",-1,0))))</f>
        <v>0</v>
      </c>
      <c r="BJ7" s="6">
        <f t="shared" ref="BJ7" si="30">IF(Y$38="ja",0,IF(Y7="h",-1,IF(Y7="k",0,IF(Y7="w",-1,0))))</f>
        <v>0</v>
      </c>
      <c r="BK7" s="6">
        <f t="shared" ref="BK7" si="31">IF(Z$38="ja",0,IF(Z7="h",-1,IF(Z7="k",0,IF(Z7="w",-1,0))))</f>
        <v>0</v>
      </c>
      <c r="BL7" s="6">
        <f t="shared" ref="BL7" si="32">IF(AA$38="ja",0,IF(AA7="h",-1,IF(AA7="k",0,IF(AA7="w",-1,0))))</f>
        <v>0</v>
      </c>
      <c r="BM7" s="3"/>
      <c r="BN7" s="3"/>
      <c r="BO7" s="3"/>
    </row>
    <row r="8" spans="1:67" x14ac:dyDescent="0.25">
      <c r="A8" s="3">
        <v>2</v>
      </c>
      <c r="B8" s="8" t="s">
        <v>60</v>
      </c>
      <c r="C8" s="9" t="s">
        <v>48</v>
      </c>
      <c r="D8" s="191" t="s">
        <v>48</v>
      </c>
      <c r="E8" s="9"/>
      <c r="F8" s="9"/>
      <c r="G8" s="9" t="s">
        <v>48</v>
      </c>
      <c r="H8" s="9" t="s">
        <v>48</v>
      </c>
      <c r="I8" s="9" t="s">
        <v>48</v>
      </c>
      <c r="J8" s="9" t="s">
        <v>48</v>
      </c>
      <c r="K8" s="9" t="s">
        <v>48</v>
      </c>
      <c r="L8" s="9"/>
      <c r="M8" s="9" t="s">
        <v>48</v>
      </c>
      <c r="N8" s="9" t="s">
        <v>299</v>
      </c>
      <c r="O8" s="9" t="s">
        <v>48</v>
      </c>
      <c r="P8" s="9" t="s">
        <v>48</v>
      </c>
      <c r="Q8" s="9" t="s">
        <v>48</v>
      </c>
      <c r="R8" s="9" t="s">
        <v>48</v>
      </c>
      <c r="S8" s="9" t="s">
        <v>48</v>
      </c>
      <c r="T8" s="9" t="s">
        <v>48</v>
      </c>
      <c r="U8" s="9"/>
      <c r="V8" s="9" t="s">
        <v>48</v>
      </c>
      <c r="W8" s="45"/>
      <c r="X8" s="45"/>
      <c r="Y8" s="45"/>
      <c r="Z8" s="45"/>
      <c r="AA8" s="9"/>
      <c r="AB8" s="105">
        <f t="shared" si="1"/>
        <v>15</v>
      </c>
      <c r="AC8" s="101">
        <f t="shared" si="2"/>
        <v>0</v>
      </c>
      <c r="AD8" s="101">
        <f t="shared" si="3"/>
        <v>0</v>
      </c>
      <c r="AE8" s="101">
        <f t="shared" si="4"/>
        <v>0</v>
      </c>
      <c r="AF8" s="101">
        <f t="shared" si="5"/>
        <v>0</v>
      </c>
      <c r="AG8" s="102">
        <f t="shared" si="6"/>
        <v>0</v>
      </c>
      <c r="AK8" s="195">
        <f t="shared" si="7"/>
        <v>15</v>
      </c>
      <c r="AN8" s="6">
        <f t="shared" ref="AN8:AN35" si="33">IF(C$38="ja",0,IF(C8="h",-1,IF(C8="k",0,IF(C8="w",-1,0))))</f>
        <v>0</v>
      </c>
      <c r="AO8" s="6">
        <f t="shared" ref="AO8:AO35" si="34">IF(D$38="ja",0,IF(D8="h",-1,IF(D8="k",0,IF(D8="w",-1,0))))</f>
        <v>0</v>
      </c>
      <c r="AP8" s="6">
        <f t="shared" ref="AP8:AP35" si="35">IF(E$38="ja",0,IF(E8="h",-1,IF(E8="k",0,IF(E8="w",-1,0))))</f>
        <v>0</v>
      </c>
      <c r="AQ8" s="6">
        <f t="shared" ref="AQ8:AQ35" si="36">IF(F$38="ja",0,IF(F8="h",-1,IF(F8="k",0,IF(F8="w",-1,0))))</f>
        <v>0</v>
      </c>
      <c r="AR8" s="6">
        <f t="shared" ref="AR8:AR35" si="37">IF(G$38="ja",0,IF(G8="h",-1,IF(G8="k",0,IF(G8="w",-1,0))))</f>
        <v>-1</v>
      </c>
      <c r="AS8" s="6">
        <f t="shared" ref="AS8:AS35" si="38">IF(H$38="ja",0,IF(H8="h",-1,IF(H8="k",0,IF(H8="w",-1,0))))</f>
        <v>0</v>
      </c>
      <c r="AT8" s="6">
        <f t="shared" ref="AT8:AT35" si="39">IF(I$38="ja",0,IF(I8="h",-1,IF(I8="k",0,IF(I8="w",-1,0))))</f>
        <v>-1</v>
      </c>
      <c r="AU8" s="6">
        <f t="shared" ref="AU8:AU35" si="40">IF(J$38="ja",0,IF(J8="h",-1,IF(J8="k",0,IF(J8="w",-1,0))))</f>
        <v>-1</v>
      </c>
      <c r="AV8" s="6">
        <f t="shared" ref="AV8:AV35" si="41">IF(K$38="ja",0,IF(K8="h",-1,IF(K8="k",0,IF(K8="w",-1,0))))</f>
        <v>0</v>
      </c>
      <c r="AW8" s="6">
        <f t="shared" ref="AW8:AW35" si="42">IF(L$38="ja",0,IF(L8="h",-1,IF(L8="k",0,IF(L8="w",-1,0))))</f>
        <v>0</v>
      </c>
      <c r="AX8" s="6">
        <f t="shared" ref="AX8:AX35" si="43">IF(M$38="ja",0,IF(M8="h",-1,IF(M8="k",0,IF(M8="w",-1,0))))</f>
        <v>-1</v>
      </c>
      <c r="AY8" s="6">
        <f t="shared" ref="AY8:AY35" si="44">IF(N$38="ja",0,IF(N8="h",-1,IF(N8="k",0,IF(N8="w",-1,0))))</f>
        <v>0</v>
      </c>
      <c r="AZ8" s="6">
        <f t="shared" ref="AZ8:AZ35" si="45">IF(O$38="ja",0,IF(O8="h",-1,IF(O8="k",0,IF(O8="w",-1,0))))</f>
        <v>0</v>
      </c>
      <c r="BA8" s="6">
        <f t="shared" ref="BA8:BA35" si="46">IF(P$38="ja",0,IF(P8="h",-1,IF(P8="k",0,IF(P8="w",-1,0))))</f>
        <v>-1</v>
      </c>
      <c r="BB8" s="6">
        <f t="shared" ref="BB8:BB35" si="47">IF(Q$38="ja",0,IF(Q8="h",-1,IF(Q8="k",0,IF(Q8="w",-1,0))))</f>
        <v>-1</v>
      </c>
      <c r="BC8" s="6">
        <f t="shared" ref="BC8:BC35" si="48">IF(R$38="ja",0,IF(R8="h",-1,IF(R8="k",0,IF(R8="w",-1,0))))</f>
        <v>-1</v>
      </c>
      <c r="BD8" s="6">
        <f t="shared" ref="BD8:BD35" si="49">IF(S$38="ja",0,IF(S8="h",-1,IF(S8="k",0,IF(S8="w",-1,0))))</f>
        <v>0</v>
      </c>
      <c r="BE8" s="6">
        <f t="shared" ref="BE8:BE35" si="50">IF(T$38="ja",0,IF(T8="h",-1,IF(T8="k",0,IF(T8="w",-1,0))))</f>
        <v>-1</v>
      </c>
      <c r="BF8" s="6">
        <f t="shared" ref="BF8:BF35" si="51">IF(U$38="ja",0,IF(U8="h",-1,IF(U8="k",0,IF(U8="w",-1,0))))</f>
        <v>0</v>
      </c>
      <c r="BG8" s="6">
        <f t="shared" ref="BG8:BG35" si="52">IF(V$38="ja",0,IF(V8="h",-1,IF(V8="k",0,IF(V8="w",-1,0))))</f>
        <v>-1</v>
      </c>
      <c r="BH8" s="6">
        <f t="shared" ref="BH8:BH35" si="53">IF(W$38="ja",0,IF(W8="h",-1,IF(W8="k",0,IF(W8="w",-1,0))))</f>
        <v>0</v>
      </c>
      <c r="BI8" s="6">
        <f t="shared" ref="BI8:BI35" si="54">IF(X$38="ja",0,IF(X8="h",-1,IF(X8="k",0,IF(X8="w",-1,0))))</f>
        <v>0</v>
      </c>
      <c r="BJ8" s="6">
        <f t="shared" ref="BJ8:BJ35" si="55">IF(Y$38="ja",0,IF(Y8="h",-1,IF(Y8="k",0,IF(Y8="w",-1,0))))</f>
        <v>0</v>
      </c>
      <c r="BK8" s="6">
        <f t="shared" ref="BK8:BK35" si="56">IF(Z$38="ja",0,IF(Z8="h",-1,IF(Z8="k",0,IF(Z8="w",-1,0))))</f>
        <v>0</v>
      </c>
      <c r="BL8" s="6">
        <f t="shared" ref="BL8:BL35" si="57">IF(AA$38="ja",0,IF(AA8="h",-1,IF(AA8="k",0,IF(AA8="w",-1,0))))</f>
        <v>0</v>
      </c>
      <c r="BM8" s="3"/>
      <c r="BN8" s="3"/>
      <c r="BO8" s="3"/>
    </row>
    <row r="9" spans="1:67" x14ac:dyDescent="0.25">
      <c r="A9" s="3">
        <v>3</v>
      </c>
      <c r="B9" s="8" t="s">
        <v>80</v>
      </c>
      <c r="C9" s="9" t="s">
        <v>48</v>
      </c>
      <c r="D9" s="191"/>
      <c r="E9" s="9" t="s">
        <v>48</v>
      </c>
      <c r="F9" s="9"/>
      <c r="G9" s="9" t="s">
        <v>48</v>
      </c>
      <c r="H9" s="9" t="s">
        <v>48</v>
      </c>
      <c r="I9" s="9" t="s">
        <v>299</v>
      </c>
      <c r="J9" s="9" t="s">
        <v>48</v>
      </c>
      <c r="K9" s="9" t="s">
        <v>48</v>
      </c>
      <c r="L9" s="9"/>
      <c r="M9" s="9" t="s">
        <v>48</v>
      </c>
      <c r="N9" s="9" t="s">
        <v>48</v>
      </c>
      <c r="O9" s="9"/>
      <c r="P9" s="9" t="s">
        <v>48</v>
      </c>
      <c r="Q9" s="9"/>
      <c r="R9" s="9" t="s">
        <v>48</v>
      </c>
      <c r="S9" s="9" t="s">
        <v>48</v>
      </c>
      <c r="T9" s="9"/>
      <c r="U9" s="9"/>
      <c r="V9" s="9" t="s">
        <v>48</v>
      </c>
      <c r="W9" s="45"/>
      <c r="X9" s="45"/>
      <c r="Y9" s="45"/>
      <c r="Z9" s="45"/>
      <c r="AA9" s="9"/>
      <c r="AB9" s="105">
        <f t="shared" si="1"/>
        <v>12</v>
      </c>
      <c r="AC9" s="101">
        <f t="shared" si="2"/>
        <v>0</v>
      </c>
      <c r="AD9" s="101">
        <f t="shared" si="3"/>
        <v>0</v>
      </c>
      <c r="AE9" s="101">
        <f t="shared" si="4"/>
        <v>0</v>
      </c>
      <c r="AF9" s="101">
        <f t="shared" si="5"/>
        <v>0</v>
      </c>
      <c r="AG9" s="102">
        <f t="shared" si="6"/>
        <v>0</v>
      </c>
      <c r="AK9" s="195">
        <f t="shared" si="7"/>
        <v>12</v>
      </c>
      <c r="AN9" s="6">
        <f t="shared" si="33"/>
        <v>0</v>
      </c>
      <c r="AO9" s="6">
        <f t="shared" si="34"/>
        <v>0</v>
      </c>
      <c r="AP9" s="6">
        <f t="shared" si="35"/>
        <v>0</v>
      </c>
      <c r="AQ9" s="6">
        <f t="shared" si="36"/>
        <v>0</v>
      </c>
      <c r="AR9" s="6">
        <f t="shared" si="37"/>
        <v>-1</v>
      </c>
      <c r="AS9" s="6">
        <f t="shared" si="38"/>
        <v>0</v>
      </c>
      <c r="AT9" s="6">
        <f t="shared" si="39"/>
        <v>0</v>
      </c>
      <c r="AU9" s="6">
        <f t="shared" si="40"/>
        <v>-1</v>
      </c>
      <c r="AV9" s="6">
        <f t="shared" si="41"/>
        <v>0</v>
      </c>
      <c r="AW9" s="6">
        <f t="shared" si="42"/>
        <v>0</v>
      </c>
      <c r="AX9" s="6">
        <f t="shared" si="43"/>
        <v>-1</v>
      </c>
      <c r="AY9" s="6">
        <f t="shared" si="44"/>
        <v>-1</v>
      </c>
      <c r="AZ9" s="6">
        <f t="shared" si="45"/>
        <v>0</v>
      </c>
      <c r="BA9" s="6">
        <f t="shared" si="46"/>
        <v>-1</v>
      </c>
      <c r="BB9" s="6">
        <f t="shared" si="47"/>
        <v>0</v>
      </c>
      <c r="BC9" s="6">
        <f t="shared" si="48"/>
        <v>-1</v>
      </c>
      <c r="BD9" s="6">
        <f t="shared" si="49"/>
        <v>0</v>
      </c>
      <c r="BE9" s="6">
        <f t="shared" si="50"/>
        <v>0</v>
      </c>
      <c r="BF9" s="6">
        <f t="shared" si="51"/>
        <v>0</v>
      </c>
      <c r="BG9" s="6">
        <f t="shared" si="52"/>
        <v>-1</v>
      </c>
      <c r="BH9" s="6">
        <f t="shared" si="53"/>
        <v>0</v>
      </c>
      <c r="BI9" s="6">
        <f t="shared" si="54"/>
        <v>0</v>
      </c>
      <c r="BJ9" s="6">
        <f t="shared" si="55"/>
        <v>0</v>
      </c>
      <c r="BK9" s="6">
        <f t="shared" si="56"/>
        <v>0</v>
      </c>
      <c r="BL9" s="6">
        <f t="shared" si="57"/>
        <v>0</v>
      </c>
      <c r="BM9" s="3"/>
      <c r="BN9" s="3"/>
      <c r="BO9" s="3"/>
    </row>
    <row r="10" spans="1:67" x14ac:dyDescent="0.25">
      <c r="A10" s="3">
        <v>4</v>
      </c>
      <c r="B10" s="8" t="s">
        <v>51</v>
      </c>
      <c r="C10" s="9"/>
      <c r="D10" s="191" t="s">
        <v>48</v>
      </c>
      <c r="E10" s="9" t="s">
        <v>48</v>
      </c>
      <c r="F10" s="9" t="s">
        <v>52</v>
      </c>
      <c r="G10" s="9"/>
      <c r="H10" s="9"/>
      <c r="I10" s="9"/>
      <c r="J10" s="9" t="s">
        <v>299</v>
      </c>
      <c r="K10" s="9" t="s">
        <v>48</v>
      </c>
      <c r="L10" s="9" t="s">
        <v>48</v>
      </c>
      <c r="M10" s="9"/>
      <c r="N10" s="9" t="s">
        <v>48</v>
      </c>
      <c r="O10" s="9" t="s">
        <v>48</v>
      </c>
      <c r="P10" s="9" t="s">
        <v>48</v>
      </c>
      <c r="Q10" s="9" t="s">
        <v>48</v>
      </c>
      <c r="R10" s="9"/>
      <c r="S10" s="9"/>
      <c r="T10" s="9"/>
      <c r="U10" s="9"/>
      <c r="V10" s="9" t="s">
        <v>52</v>
      </c>
      <c r="W10" s="45"/>
      <c r="X10" s="45"/>
      <c r="Y10" s="45"/>
      <c r="Z10" s="45"/>
      <c r="AA10" s="9"/>
      <c r="AB10" s="105">
        <f t="shared" si="1"/>
        <v>10</v>
      </c>
      <c r="AC10" s="101">
        <f t="shared" si="2"/>
        <v>0</v>
      </c>
      <c r="AD10" s="101">
        <f t="shared" si="3"/>
        <v>0</v>
      </c>
      <c r="AE10" s="101">
        <f t="shared" si="4"/>
        <v>0</v>
      </c>
      <c r="AF10" s="101">
        <f t="shared" si="5"/>
        <v>2</v>
      </c>
      <c r="AG10" s="102">
        <f t="shared" si="6"/>
        <v>0</v>
      </c>
      <c r="AK10" s="195">
        <f t="shared" si="7"/>
        <v>8</v>
      </c>
      <c r="AN10" s="6">
        <f t="shared" si="33"/>
        <v>0</v>
      </c>
      <c r="AO10" s="6">
        <f t="shared" si="34"/>
        <v>0</v>
      </c>
      <c r="AP10" s="6">
        <f t="shared" si="35"/>
        <v>0</v>
      </c>
      <c r="AQ10" s="6">
        <f t="shared" si="36"/>
        <v>0</v>
      </c>
      <c r="AR10" s="6">
        <f t="shared" si="37"/>
        <v>0</v>
      </c>
      <c r="AS10" s="6">
        <f t="shared" si="38"/>
        <v>0</v>
      </c>
      <c r="AT10" s="6">
        <f t="shared" si="39"/>
        <v>0</v>
      </c>
      <c r="AU10" s="6">
        <f t="shared" si="40"/>
        <v>0</v>
      </c>
      <c r="AV10" s="6">
        <f t="shared" si="41"/>
        <v>0</v>
      </c>
      <c r="AW10" s="6">
        <f t="shared" si="42"/>
        <v>-1</v>
      </c>
      <c r="AX10" s="6">
        <f t="shared" si="43"/>
        <v>0</v>
      </c>
      <c r="AY10" s="6">
        <f t="shared" si="44"/>
        <v>-1</v>
      </c>
      <c r="AZ10" s="6">
        <f t="shared" si="45"/>
        <v>0</v>
      </c>
      <c r="BA10" s="6">
        <f t="shared" si="46"/>
        <v>-1</v>
      </c>
      <c r="BB10" s="6">
        <f t="shared" si="47"/>
        <v>-1</v>
      </c>
      <c r="BC10" s="6">
        <f t="shared" si="48"/>
        <v>0</v>
      </c>
      <c r="BD10" s="6">
        <f t="shared" si="49"/>
        <v>0</v>
      </c>
      <c r="BE10" s="6">
        <f t="shared" si="50"/>
        <v>0</v>
      </c>
      <c r="BF10" s="6">
        <f t="shared" si="51"/>
        <v>0</v>
      </c>
      <c r="BG10" s="6">
        <f t="shared" si="52"/>
        <v>0</v>
      </c>
      <c r="BH10" s="6">
        <f t="shared" si="53"/>
        <v>0</v>
      </c>
      <c r="BI10" s="6">
        <f t="shared" si="54"/>
        <v>0</v>
      </c>
      <c r="BJ10" s="6">
        <f t="shared" si="55"/>
        <v>0</v>
      </c>
      <c r="BK10" s="6">
        <f t="shared" si="56"/>
        <v>0</v>
      </c>
      <c r="BL10" s="6">
        <f t="shared" si="57"/>
        <v>0</v>
      </c>
      <c r="BM10" s="3"/>
      <c r="BN10" s="3"/>
      <c r="BO10" s="3"/>
    </row>
    <row r="11" spans="1:67" x14ac:dyDescent="0.25">
      <c r="A11" s="3">
        <v>5</v>
      </c>
      <c r="B11" s="8" t="s">
        <v>55</v>
      </c>
      <c r="C11" s="9"/>
      <c r="D11" s="191"/>
      <c r="E11" s="9" t="s">
        <v>48</v>
      </c>
      <c r="F11" s="9"/>
      <c r="G11" s="9" t="s">
        <v>48</v>
      </c>
      <c r="H11" s="9"/>
      <c r="I11" s="9" t="s">
        <v>48</v>
      </c>
      <c r="J11" s="9"/>
      <c r="K11" s="9" t="s">
        <v>48</v>
      </c>
      <c r="L11" s="9" t="s">
        <v>48</v>
      </c>
      <c r="M11" s="9"/>
      <c r="N11" s="9" t="s">
        <v>299</v>
      </c>
      <c r="O11" s="9" t="s">
        <v>48</v>
      </c>
      <c r="P11" s="9"/>
      <c r="Q11" s="9"/>
      <c r="R11" s="9" t="s">
        <v>48</v>
      </c>
      <c r="S11" s="9" t="s">
        <v>284</v>
      </c>
      <c r="T11" s="9" t="s">
        <v>48</v>
      </c>
      <c r="U11" s="9"/>
      <c r="V11" s="9" t="s">
        <v>48</v>
      </c>
      <c r="W11" s="45"/>
      <c r="X11" s="45"/>
      <c r="Y11" s="45"/>
      <c r="Z11" s="45"/>
      <c r="AA11" s="9"/>
      <c r="AB11" s="105">
        <f t="shared" si="1"/>
        <v>9</v>
      </c>
      <c r="AC11" s="101">
        <f t="shared" si="2"/>
        <v>0</v>
      </c>
      <c r="AD11" s="101">
        <f t="shared" si="3"/>
        <v>0</v>
      </c>
      <c r="AE11" s="101">
        <f t="shared" si="4"/>
        <v>0</v>
      </c>
      <c r="AF11" s="101">
        <f t="shared" si="5"/>
        <v>0</v>
      </c>
      <c r="AG11" s="102">
        <f t="shared" si="6"/>
        <v>0</v>
      </c>
      <c r="AK11" s="195">
        <f t="shared" si="7"/>
        <v>9</v>
      </c>
      <c r="AN11" s="6">
        <f t="shared" si="33"/>
        <v>0</v>
      </c>
      <c r="AO11" s="6">
        <f t="shared" si="34"/>
        <v>0</v>
      </c>
      <c r="AP11" s="6">
        <f t="shared" si="35"/>
        <v>0</v>
      </c>
      <c r="AQ11" s="6">
        <f t="shared" si="36"/>
        <v>0</v>
      </c>
      <c r="AR11" s="6">
        <f t="shared" si="37"/>
        <v>-1</v>
      </c>
      <c r="AS11" s="6">
        <f t="shared" si="38"/>
        <v>0</v>
      </c>
      <c r="AT11" s="6">
        <f t="shared" si="39"/>
        <v>-1</v>
      </c>
      <c r="AU11" s="6">
        <f t="shared" si="40"/>
        <v>0</v>
      </c>
      <c r="AV11" s="6">
        <f t="shared" si="41"/>
        <v>0</v>
      </c>
      <c r="AW11" s="6">
        <f t="shared" si="42"/>
        <v>-1</v>
      </c>
      <c r="AX11" s="6">
        <f t="shared" si="43"/>
        <v>0</v>
      </c>
      <c r="AY11" s="6">
        <f t="shared" si="44"/>
        <v>0</v>
      </c>
      <c r="AZ11" s="6">
        <f t="shared" si="45"/>
        <v>0</v>
      </c>
      <c r="BA11" s="6">
        <f t="shared" si="46"/>
        <v>0</v>
      </c>
      <c r="BB11" s="6">
        <f t="shared" si="47"/>
        <v>0</v>
      </c>
      <c r="BC11" s="6">
        <f t="shared" si="48"/>
        <v>-1</v>
      </c>
      <c r="BD11" s="6">
        <f t="shared" si="49"/>
        <v>0</v>
      </c>
      <c r="BE11" s="6">
        <f t="shared" si="50"/>
        <v>-1</v>
      </c>
      <c r="BF11" s="6">
        <f t="shared" si="51"/>
        <v>0</v>
      </c>
      <c r="BG11" s="6">
        <f t="shared" si="52"/>
        <v>-1</v>
      </c>
      <c r="BH11" s="6">
        <f t="shared" si="53"/>
        <v>0</v>
      </c>
      <c r="BI11" s="6">
        <f t="shared" si="54"/>
        <v>0</v>
      </c>
      <c r="BJ11" s="6">
        <f t="shared" si="55"/>
        <v>0</v>
      </c>
      <c r="BK11" s="6">
        <f t="shared" si="56"/>
        <v>0</v>
      </c>
      <c r="BL11" s="6">
        <f t="shared" si="57"/>
        <v>0</v>
      </c>
      <c r="BM11" s="3"/>
      <c r="BN11" s="3"/>
      <c r="BO11" s="3"/>
    </row>
    <row r="12" spans="1:67" x14ac:dyDescent="0.25">
      <c r="A12" s="3">
        <v>6</v>
      </c>
      <c r="B12" s="8" t="s">
        <v>57</v>
      </c>
      <c r="C12" s="9" t="s">
        <v>48</v>
      </c>
      <c r="D12" s="191" t="s">
        <v>48</v>
      </c>
      <c r="E12" s="9"/>
      <c r="F12" s="9" t="s">
        <v>48</v>
      </c>
      <c r="G12" s="9" t="s">
        <v>299</v>
      </c>
      <c r="H12" s="9" t="s">
        <v>48</v>
      </c>
      <c r="I12" s="9" t="s">
        <v>48</v>
      </c>
      <c r="J12" s="9" t="s">
        <v>299</v>
      </c>
      <c r="K12" s="9" t="s">
        <v>48</v>
      </c>
      <c r="L12" s="9"/>
      <c r="M12" s="9" t="s">
        <v>48</v>
      </c>
      <c r="N12" s="9" t="s">
        <v>48</v>
      </c>
      <c r="O12" s="9" t="s">
        <v>48</v>
      </c>
      <c r="P12" s="9" t="s">
        <v>48</v>
      </c>
      <c r="Q12" s="9" t="s">
        <v>48</v>
      </c>
      <c r="R12" s="9" t="s">
        <v>48</v>
      </c>
      <c r="S12" s="9" t="s">
        <v>48</v>
      </c>
      <c r="T12" s="9" t="s">
        <v>48</v>
      </c>
      <c r="U12" s="9"/>
      <c r="V12" s="9" t="s">
        <v>48</v>
      </c>
      <c r="W12" s="45"/>
      <c r="X12" s="45"/>
      <c r="Y12" s="45"/>
      <c r="Z12" s="45"/>
      <c r="AA12" s="9"/>
      <c r="AB12" s="105">
        <f t="shared" si="1"/>
        <v>15</v>
      </c>
      <c r="AC12" s="101">
        <f t="shared" si="2"/>
        <v>0</v>
      </c>
      <c r="AD12" s="101">
        <f t="shared" si="3"/>
        <v>0</v>
      </c>
      <c r="AE12" s="101">
        <f t="shared" si="4"/>
        <v>0</v>
      </c>
      <c r="AF12" s="101">
        <f t="shared" si="5"/>
        <v>0</v>
      </c>
      <c r="AG12" s="102">
        <f t="shared" si="6"/>
        <v>0</v>
      </c>
      <c r="AK12" s="195">
        <f t="shared" si="7"/>
        <v>15</v>
      </c>
      <c r="AN12" s="6">
        <f t="shared" si="33"/>
        <v>0</v>
      </c>
      <c r="AO12" s="6">
        <f t="shared" si="34"/>
        <v>0</v>
      </c>
      <c r="AP12" s="6">
        <f t="shared" si="35"/>
        <v>0</v>
      </c>
      <c r="AQ12" s="6">
        <f t="shared" si="36"/>
        <v>0</v>
      </c>
      <c r="AR12" s="6">
        <f t="shared" si="37"/>
        <v>0</v>
      </c>
      <c r="AS12" s="6">
        <f t="shared" si="38"/>
        <v>0</v>
      </c>
      <c r="AT12" s="6">
        <f t="shared" si="39"/>
        <v>-1</v>
      </c>
      <c r="AU12" s="6">
        <f t="shared" si="40"/>
        <v>0</v>
      </c>
      <c r="AV12" s="6">
        <f t="shared" si="41"/>
        <v>0</v>
      </c>
      <c r="AW12" s="6">
        <f t="shared" si="42"/>
        <v>0</v>
      </c>
      <c r="AX12" s="6">
        <f t="shared" si="43"/>
        <v>-1</v>
      </c>
      <c r="AY12" s="6">
        <f t="shared" si="44"/>
        <v>-1</v>
      </c>
      <c r="AZ12" s="6">
        <f t="shared" si="45"/>
        <v>0</v>
      </c>
      <c r="BA12" s="6">
        <f t="shared" si="46"/>
        <v>-1</v>
      </c>
      <c r="BB12" s="6">
        <f t="shared" si="47"/>
        <v>-1</v>
      </c>
      <c r="BC12" s="6">
        <f t="shared" si="48"/>
        <v>-1</v>
      </c>
      <c r="BD12" s="6">
        <f t="shared" si="49"/>
        <v>0</v>
      </c>
      <c r="BE12" s="6">
        <f t="shared" si="50"/>
        <v>-1</v>
      </c>
      <c r="BF12" s="6">
        <f t="shared" si="51"/>
        <v>0</v>
      </c>
      <c r="BG12" s="6">
        <f t="shared" si="52"/>
        <v>-1</v>
      </c>
      <c r="BH12" s="6">
        <f t="shared" si="53"/>
        <v>0</v>
      </c>
      <c r="BI12" s="6">
        <f t="shared" si="54"/>
        <v>0</v>
      </c>
      <c r="BJ12" s="6">
        <f t="shared" si="55"/>
        <v>0</v>
      </c>
      <c r="BK12" s="6">
        <f t="shared" si="56"/>
        <v>0</v>
      </c>
      <c r="BL12" s="6">
        <f t="shared" si="57"/>
        <v>0</v>
      </c>
      <c r="BM12" s="3"/>
      <c r="BN12" s="3"/>
      <c r="BO12" s="3"/>
    </row>
    <row r="13" spans="1:67" x14ac:dyDescent="0.25">
      <c r="A13" s="3">
        <v>7</v>
      </c>
      <c r="B13" s="8" t="s">
        <v>59</v>
      </c>
      <c r="C13" s="9" t="s">
        <v>48</v>
      </c>
      <c r="D13" s="191" t="s">
        <v>48</v>
      </c>
      <c r="E13" s="9" t="s">
        <v>48</v>
      </c>
      <c r="F13" s="9" t="s">
        <v>48</v>
      </c>
      <c r="G13" s="9" t="s">
        <v>299</v>
      </c>
      <c r="H13" s="9"/>
      <c r="I13" s="9" t="s">
        <v>48</v>
      </c>
      <c r="J13" s="9" t="s">
        <v>299</v>
      </c>
      <c r="K13" s="9" t="s">
        <v>48</v>
      </c>
      <c r="L13" s="9"/>
      <c r="M13" s="9" t="s">
        <v>48</v>
      </c>
      <c r="N13" s="9" t="s">
        <v>299</v>
      </c>
      <c r="O13" s="9" t="s">
        <v>48</v>
      </c>
      <c r="P13" s="9" t="s">
        <v>48</v>
      </c>
      <c r="Q13" s="9" t="s">
        <v>48</v>
      </c>
      <c r="R13" s="9" t="s">
        <v>48</v>
      </c>
      <c r="S13" s="9" t="s">
        <v>48</v>
      </c>
      <c r="T13" s="9" t="s">
        <v>48</v>
      </c>
      <c r="U13" s="9"/>
      <c r="V13" s="9" t="s">
        <v>48</v>
      </c>
      <c r="W13" s="45"/>
      <c r="X13" s="45"/>
      <c r="Y13" s="45"/>
      <c r="Z13" s="45"/>
      <c r="AA13" s="9"/>
      <c r="AB13" s="105">
        <f t="shared" si="1"/>
        <v>14</v>
      </c>
      <c r="AC13" s="101">
        <f t="shared" si="2"/>
        <v>0</v>
      </c>
      <c r="AD13" s="101">
        <f t="shared" si="3"/>
        <v>0</v>
      </c>
      <c r="AE13" s="101">
        <f t="shared" si="4"/>
        <v>0</v>
      </c>
      <c r="AF13" s="101">
        <f t="shared" si="5"/>
        <v>0</v>
      </c>
      <c r="AG13" s="102">
        <f t="shared" si="6"/>
        <v>0</v>
      </c>
      <c r="AH13" s="6"/>
      <c r="AI13" s="6"/>
      <c r="AK13" s="195">
        <f t="shared" si="7"/>
        <v>14</v>
      </c>
      <c r="AN13" s="6">
        <f t="shared" si="33"/>
        <v>0</v>
      </c>
      <c r="AO13" s="6">
        <f t="shared" si="34"/>
        <v>0</v>
      </c>
      <c r="AP13" s="6">
        <f t="shared" si="35"/>
        <v>0</v>
      </c>
      <c r="AQ13" s="6">
        <f t="shared" si="36"/>
        <v>0</v>
      </c>
      <c r="AR13" s="6">
        <f t="shared" si="37"/>
        <v>0</v>
      </c>
      <c r="AS13" s="6">
        <f t="shared" si="38"/>
        <v>0</v>
      </c>
      <c r="AT13" s="6">
        <f t="shared" si="39"/>
        <v>-1</v>
      </c>
      <c r="AU13" s="6">
        <f t="shared" si="40"/>
        <v>0</v>
      </c>
      <c r="AV13" s="6">
        <f t="shared" si="41"/>
        <v>0</v>
      </c>
      <c r="AW13" s="6">
        <f t="shared" si="42"/>
        <v>0</v>
      </c>
      <c r="AX13" s="6">
        <f t="shared" si="43"/>
        <v>-1</v>
      </c>
      <c r="AY13" s="6">
        <f t="shared" si="44"/>
        <v>0</v>
      </c>
      <c r="AZ13" s="6">
        <f t="shared" si="45"/>
        <v>0</v>
      </c>
      <c r="BA13" s="6">
        <f t="shared" si="46"/>
        <v>-1</v>
      </c>
      <c r="BB13" s="6">
        <f t="shared" si="47"/>
        <v>-1</v>
      </c>
      <c r="BC13" s="6">
        <f t="shared" si="48"/>
        <v>-1</v>
      </c>
      <c r="BD13" s="6">
        <f t="shared" si="49"/>
        <v>0</v>
      </c>
      <c r="BE13" s="6">
        <f t="shared" si="50"/>
        <v>-1</v>
      </c>
      <c r="BF13" s="6">
        <f t="shared" si="51"/>
        <v>0</v>
      </c>
      <c r="BG13" s="6">
        <f t="shared" si="52"/>
        <v>-1</v>
      </c>
      <c r="BH13" s="6">
        <f t="shared" si="53"/>
        <v>0</v>
      </c>
      <c r="BI13" s="6">
        <f t="shared" si="54"/>
        <v>0</v>
      </c>
      <c r="BJ13" s="6">
        <f t="shared" si="55"/>
        <v>0</v>
      </c>
      <c r="BK13" s="6">
        <f t="shared" si="56"/>
        <v>0</v>
      </c>
      <c r="BL13" s="6">
        <f t="shared" si="57"/>
        <v>0</v>
      </c>
      <c r="BM13" s="3"/>
      <c r="BN13" s="3"/>
      <c r="BO13" s="3"/>
    </row>
    <row r="14" spans="1:67" x14ac:dyDescent="0.25">
      <c r="A14" s="3">
        <v>8</v>
      </c>
      <c r="B14" s="8" t="s">
        <v>62</v>
      </c>
      <c r="C14" s="9" t="s">
        <v>48</v>
      </c>
      <c r="D14" s="191" t="s">
        <v>48</v>
      </c>
      <c r="E14" s="9" t="s">
        <v>48</v>
      </c>
      <c r="F14" s="9" t="s">
        <v>48</v>
      </c>
      <c r="G14" s="9" t="s">
        <v>48</v>
      </c>
      <c r="H14" s="9"/>
      <c r="I14" s="9" t="s">
        <v>299</v>
      </c>
      <c r="J14" s="9" t="s">
        <v>48</v>
      </c>
      <c r="K14" s="9"/>
      <c r="L14" s="9"/>
      <c r="M14" s="9" t="s">
        <v>48</v>
      </c>
      <c r="N14" s="9" t="s">
        <v>48</v>
      </c>
      <c r="O14" s="9" t="s">
        <v>48</v>
      </c>
      <c r="P14" s="9" t="s">
        <v>299</v>
      </c>
      <c r="Q14" s="9" t="s">
        <v>48</v>
      </c>
      <c r="R14" s="9" t="s">
        <v>48</v>
      </c>
      <c r="S14" s="9" t="s">
        <v>48</v>
      </c>
      <c r="T14" s="9" t="s">
        <v>299</v>
      </c>
      <c r="U14" s="9"/>
      <c r="V14" s="9" t="s">
        <v>48</v>
      </c>
      <c r="W14" s="45"/>
      <c r="X14" s="45"/>
      <c r="Y14" s="45"/>
      <c r="Z14" s="45"/>
      <c r="AA14" s="9"/>
      <c r="AB14" s="105">
        <f t="shared" si="1"/>
        <v>13</v>
      </c>
      <c r="AC14" s="101">
        <f t="shared" si="2"/>
        <v>0</v>
      </c>
      <c r="AD14" s="101">
        <f t="shared" si="3"/>
        <v>0</v>
      </c>
      <c r="AE14" s="101">
        <f t="shared" si="4"/>
        <v>0</v>
      </c>
      <c r="AF14" s="101">
        <f t="shared" si="5"/>
        <v>0</v>
      </c>
      <c r="AG14" s="102">
        <f t="shared" si="6"/>
        <v>0</v>
      </c>
      <c r="AH14" s="6"/>
      <c r="AI14" s="6"/>
      <c r="AK14" s="195">
        <f t="shared" si="7"/>
        <v>13</v>
      </c>
      <c r="AN14" s="6">
        <f t="shared" si="33"/>
        <v>0</v>
      </c>
      <c r="AO14" s="6">
        <f t="shared" si="34"/>
        <v>0</v>
      </c>
      <c r="AP14" s="6">
        <f t="shared" si="35"/>
        <v>0</v>
      </c>
      <c r="AQ14" s="6">
        <f t="shared" si="36"/>
        <v>0</v>
      </c>
      <c r="AR14" s="6">
        <f t="shared" si="37"/>
        <v>-1</v>
      </c>
      <c r="AS14" s="6">
        <f t="shared" si="38"/>
        <v>0</v>
      </c>
      <c r="AT14" s="6">
        <f t="shared" si="39"/>
        <v>0</v>
      </c>
      <c r="AU14" s="6">
        <f t="shared" si="40"/>
        <v>-1</v>
      </c>
      <c r="AV14" s="6">
        <f t="shared" si="41"/>
        <v>0</v>
      </c>
      <c r="AW14" s="6">
        <f t="shared" si="42"/>
        <v>0</v>
      </c>
      <c r="AX14" s="6">
        <f t="shared" si="43"/>
        <v>-1</v>
      </c>
      <c r="AY14" s="6">
        <f t="shared" si="44"/>
        <v>-1</v>
      </c>
      <c r="AZ14" s="6">
        <f t="shared" si="45"/>
        <v>0</v>
      </c>
      <c r="BA14" s="6">
        <f t="shared" si="46"/>
        <v>0</v>
      </c>
      <c r="BB14" s="6">
        <f t="shared" si="47"/>
        <v>-1</v>
      </c>
      <c r="BC14" s="6">
        <f t="shared" si="48"/>
        <v>-1</v>
      </c>
      <c r="BD14" s="6">
        <f t="shared" si="49"/>
        <v>0</v>
      </c>
      <c r="BE14" s="6">
        <f t="shared" si="50"/>
        <v>0</v>
      </c>
      <c r="BF14" s="6">
        <f t="shared" si="51"/>
        <v>0</v>
      </c>
      <c r="BG14" s="6">
        <f t="shared" si="52"/>
        <v>-1</v>
      </c>
      <c r="BH14" s="6">
        <f t="shared" si="53"/>
        <v>0</v>
      </c>
      <c r="BI14" s="6">
        <f t="shared" si="54"/>
        <v>0</v>
      </c>
      <c r="BJ14" s="6">
        <f t="shared" si="55"/>
        <v>0</v>
      </c>
      <c r="BK14" s="6">
        <f t="shared" si="56"/>
        <v>0</v>
      </c>
      <c r="BL14" s="6">
        <f t="shared" si="57"/>
        <v>0</v>
      </c>
      <c r="BM14" s="3"/>
      <c r="BN14" s="3"/>
      <c r="BO14" s="3"/>
    </row>
    <row r="15" spans="1:67" x14ac:dyDescent="0.25">
      <c r="A15" s="3">
        <v>9</v>
      </c>
      <c r="B15" s="8" t="s">
        <v>61</v>
      </c>
      <c r="C15" s="9" t="s">
        <v>48</v>
      </c>
      <c r="D15" s="191"/>
      <c r="E15" s="9"/>
      <c r="F15" s="9" t="s">
        <v>48</v>
      </c>
      <c r="G15" s="9" t="s">
        <v>299</v>
      </c>
      <c r="H15" s="9" t="s">
        <v>48</v>
      </c>
      <c r="I15" s="9" t="s">
        <v>299</v>
      </c>
      <c r="J15" s="9" t="s">
        <v>48</v>
      </c>
      <c r="K15" s="9" t="s">
        <v>48</v>
      </c>
      <c r="L15" s="9"/>
      <c r="M15" s="9" t="s">
        <v>48</v>
      </c>
      <c r="N15" s="9" t="s">
        <v>48</v>
      </c>
      <c r="O15" s="9" t="s">
        <v>48</v>
      </c>
      <c r="P15" s="9" t="s">
        <v>48</v>
      </c>
      <c r="Q15" s="9" t="s">
        <v>48</v>
      </c>
      <c r="R15" s="9" t="s">
        <v>299</v>
      </c>
      <c r="S15" s="9" t="s">
        <v>48</v>
      </c>
      <c r="T15" s="9" t="s">
        <v>48</v>
      </c>
      <c r="U15" s="9"/>
      <c r="V15" s="9" t="s">
        <v>48</v>
      </c>
      <c r="W15" s="45"/>
      <c r="X15" s="45"/>
      <c r="Y15" s="45"/>
      <c r="Z15" s="45"/>
      <c r="AA15" s="9"/>
      <c r="AB15" s="105">
        <f t="shared" si="1"/>
        <v>13</v>
      </c>
      <c r="AC15" s="101">
        <f t="shared" si="2"/>
        <v>0</v>
      </c>
      <c r="AD15" s="101">
        <f t="shared" si="3"/>
        <v>0</v>
      </c>
      <c r="AE15" s="101">
        <f t="shared" si="4"/>
        <v>0</v>
      </c>
      <c r="AF15" s="101">
        <f t="shared" si="5"/>
        <v>0</v>
      </c>
      <c r="AG15" s="102">
        <f t="shared" si="6"/>
        <v>0</v>
      </c>
      <c r="AH15" s="6"/>
      <c r="AI15" s="6"/>
      <c r="AK15" s="195">
        <f t="shared" si="7"/>
        <v>13</v>
      </c>
      <c r="AN15" s="6">
        <f t="shared" si="33"/>
        <v>0</v>
      </c>
      <c r="AO15" s="6">
        <f t="shared" si="34"/>
        <v>0</v>
      </c>
      <c r="AP15" s="6">
        <f t="shared" si="35"/>
        <v>0</v>
      </c>
      <c r="AQ15" s="6">
        <f t="shared" si="36"/>
        <v>0</v>
      </c>
      <c r="AR15" s="6">
        <f t="shared" si="37"/>
        <v>0</v>
      </c>
      <c r="AS15" s="6">
        <f t="shared" si="38"/>
        <v>0</v>
      </c>
      <c r="AT15" s="6">
        <f t="shared" si="39"/>
        <v>0</v>
      </c>
      <c r="AU15" s="6">
        <f t="shared" si="40"/>
        <v>-1</v>
      </c>
      <c r="AV15" s="6">
        <f t="shared" si="41"/>
        <v>0</v>
      </c>
      <c r="AW15" s="6">
        <f t="shared" si="42"/>
        <v>0</v>
      </c>
      <c r="AX15" s="6">
        <f t="shared" si="43"/>
        <v>-1</v>
      </c>
      <c r="AY15" s="6">
        <f t="shared" si="44"/>
        <v>-1</v>
      </c>
      <c r="AZ15" s="6">
        <f t="shared" si="45"/>
        <v>0</v>
      </c>
      <c r="BA15" s="6">
        <f t="shared" si="46"/>
        <v>-1</v>
      </c>
      <c r="BB15" s="6">
        <f t="shared" si="47"/>
        <v>-1</v>
      </c>
      <c r="BC15" s="6">
        <f t="shared" si="48"/>
        <v>0</v>
      </c>
      <c r="BD15" s="6">
        <f t="shared" si="49"/>
        <v>0</v>
      </c>
      <c r="BE15" s="6">
        <f t="shared" si="50"/>
        <v>-1</v>
      </c>
      <c r="BF15" s="6">
        <f t="shared" si="51"/>
        <v>0</v>
      </c>
      <c r="BG15" s="6">
        <f t="shared" si="52"/>
        <v>-1</v>
      </c>
      <c r="BH15" s="6">
        <f t="shared" si="53"/>
        <v>0</v>
      </c>
      <c r="BI15" s="6">
        <f t="shared" si="54"/>
        <v>0</v>
      </c>
      <c r="BJ15" s="6">
        <f t="shared" si="55"/>
        <v>0</v>
      </c>
      <c r="BK15" s="6">
        <f t="shared" si="56"/>
        <v>0</v>
      </c>
      <c r="BL15" s="6">
        <f t="shared" si="57"/>
        <v>0</v>
      </c>
      <c r="BM15" s="3"/>
      <c r="BN15" s="3"/>
      <c r="BO15" s="3"/>
    </row>
    <row r="16" spans="1:67" x14ac:dyDescent="0.25">
      <c r="A16" s="3">
        <v>10</v>
      </c>
      <c r="B16" s="112" t="s">
        <v>124</v>
      </c>
      <c r="C16" s="9"/>
      <c r="D16" s="191"/>
      <c r="E16" s="9" t="s">
        <v>48</v>
      </c>
      <c r="F16" s="9"/>
      <c r="G16" s="9"/>
      <c r="H16" s="9"/>
      <c r="I16" s="9"/>
      <c r="J16" s="9"/>
      <c r="K16" s="9" t="s">
        <v>48</v>
      </c>
      <c r="L16" s="9"/>
      <c r="M16" s="9"/>
      <c r="N16" s="9"/>
      <c r="O16" s="9"/>
      <c r="P16" s="9"/>
      <c r="Q16" s="9" t="s">
        <v>299</v>
      </c>
      <c r="R16" s="9"/>
      <c r="S16" s="9" t="s">
        <v>48</v>
      </c>
      <c r="T16" s="9" t="s">
        <v>48</v>
      </c>
      <c r="U16" s="9"/>
      <c r="V16" s="9"/>
      <c r="W16" s="45"/>
      <c r="X16" s="45"/>
      <c r="Y16" s="45"/>
      <c r="Z16" s="45"/>
      <c r="AA16" s="9"/>
      <c r="AB16" s="105">
        <f t="shared" si="1"/>
        <v>4</v>
      </c>
      <c r="AC16" s="101">
        <f t="shared" si="2"/>
        <v>0</v>
      </c>
      <c r="AD16" s="101">
        <f t="shared" si="3"/>
        <v>0</v>
      </c>
      <c r="AE16" s="101">
        <f t="shared" si="4"/>
        <v>0</v>
      </c>
      <c r="AF16" s="101">
        <f t="shared" si="5"/>
        <v>0</v>
      </c>
      <c r="AG16" s="102">
        <f t="shared" si="6"/>
        <v>0</v>
      </c>
      <c r="AH16" s="6"/>
      <c r="AI16" s="6"/>
      <c r="AK16" s="195">
        <f t="shared" si="7"/>
        <v>4</v>
      </c>
      <c r="AN16" s="6">
        <f t="shared" si="33"/>
        <v>0</v>
      </c>
      <c r="AO16" s="6">
        <f t="shared" si="34"/>
        <v>0</v>
      </c>
      <c r="AP16" s="6">
        <f t="shared" si="35"/>
        <v>0</v>
      </c>
      <c r="AQ16" s="6">
        <f t="shared" si="36"/>
        <v>0</v>
      </c>
      <c r="AR16" s="6">
        <f t="shared" si="37"/>
        <v>0</v>
      </c>
      <c r="AS16" s="6">
        <f t="shared" si="38"/>
        <v>0</v>
      </c>
      <c r="AT16" s="6">
        <f t="shared" si="39"/>
        <v>0</v>
      </c>
      <c r="AU16" s="6">
        <f t="shared" si="40"/>
        <v>0</v>
      </c>
      <c r="AV16" s="6">
        <f t="shared" si="41"/>
        <v>0</v>
      </c>
      <c r="AW16" s="6">
        <f t="shared" si="42"/>
        <v>0</v>
      </c>
      <c r="AX16" s="6">
        <f t="shared" si="43"/>
        <v>0</v>
      </c>
      <c r="AY16" s="6">
        <f t="shared" si="44"/>
        <v>0</v>
      </c>
      <c r="AZ16" s="6">
        <f t="shared" si="45"/>
        <v>0</v>
      </c>
      <c r="BA16" s="6">
        <f t="shared" si="46"/>
        <v>0</v>
      </c>
      <c r="BB16" s="6">
        <f t="shared" si="47"/>
        <v>0</v>
      </c>
      <c r="BC16" s="6">
        <f t="shared" si="48"/>
        <v>0</v>
      </c>
      <c r="BD16" s="6">
        <f t="shared" si="49"/>
        <v>0</v>
      </c>
      <c r="BE16" s="6">
        <f t="shared" si="50"/>
        <v>-1</v>
      </c>
      <c r="BF16" s="6">
        <f t="shared" si="51"/>
        <v>0</v>
      </c>
      <c r="BG16" s="6">
        <f t="shared" si="52"/>
        <v>0</v>
      </c>
      <c r="BH16" s="6">
        <f t="shared" si="53"/>
        <v>0</v>
      </c>
      <c r="BI16" s="6">
        <f t="shared" si="54"/>
        <v>0</v>
      </c>
      <c r="BJ16" s="6">
        <f t="shared" si="55"/>
        <v>0</v>
      </c>
      <c r="BK16" s="6">
        <f t="shared" si="56"/>
        <v>0</v>
      </c>
      <c r="BL16" s="6">
        <f t="shared" si="57"/>
        <v>0</v>
      </c>
      <c r="BM16" s="3"/>
      <c r="BN16" s="3"/>
      <c r="BO16" s="3"/>
    </row>
    <row r="17" spans="1:67" x14ac:dyDescent="0.25">
      <c r="A17" s="3">
        <v>11</v>
      </c>
      <c r="B17" s="8" t="s">
        <v>53</v>
      </c>
      <c r="C17" s="9" t="s">
        <v>48</v>
      </c>
      <c r="D17" s="191" t="s">
        <v>48</v>
      </c>
      <c r="E17" s="9"/>
      <c r="F17" s="9" t="s">
        <v>48</v>
      </c>
      <c r="G17" s="9" t="s">
        <v>299</v>
      </c>
      <c r="H17" s="9"/>
      <c r="I17" s="9" t="s">
        <v>48</v>
      </c>
      <c r="J17" s="9"/>
      <c r="K17" s="9" t="s">
        <v>48</v>
      </c>
      <c r="L17" s="9" t="s">
        <v>48</v>
      </c>
      <c r="M17" s="9" t="s">
        <v>48</v>
      </c>
      <c r="N17" s="9"/>
      <c r="O17" s="9" t="s">
        <v>48</v>
      </c>
      <c r="P17" s="9" t="s">
        <v>299</v>
      </c>
      <c r="Q17" s="9" t="s">
        <v>48</v>
      </c>
      <c r="R17" s="9" t="s">
        <v>48</v>
      </c>
      <c r="S17" s="9" t="s">
        <v>48</v>
      </c>
      <c r="T17" s="9" t="s">
        <v>299</v>
      </c>
      <c r="U17" s="9"/>
      <c r="V17" s="9" t="s">
        <v>48</v>
      </c>
      <c r="W17" s="45"/>
      <c r="X17" s="45"/>
      <c r="Y17" s="45"/>
      <c r="Z17" s="45"/>
      <c r="AA17" s="9"/>
      <c r="AB17" s="105">
        <f t="shared" si="1"/>
        <v>12</v>
      </c>
      <c r="AC17" s="101">
        <f t="shared" si="2"/>
        <v>0</v>
      </c>
      <c r="AD17" s="101">
        <f t="shared" si="3"/>
        <v>0</v>
      </c>
      <c r="AE17" s="101">
        <f t="shared" si="4"/>
        <v>0</v>
      </c>
      <c r="AF17" s="101">
        <f t="shared" si="5"/>
        <v>0</v>
      </c>
      <c r="AG17" s="102">
        <f t="shared" si="6"/>
        <v>0</v>
      </c>
      <c r="AK17" s="195">
        <f t="shared" si="7"/>
        <v>12</v>
      </c>
      <c r="AN17" s="6">
        <f t="shared" si="33"/>
        <v>0</v>
      </c>
      <c r="AO17" s="6">
        <f t="shared" si="34"/>
        <v>0</v>
      </c>
      <c r="AP17" s="6">
        <f t="shared" si="35"/>
        <v>0</v>
      </c>
      <c r="AQ17" s="6">
        <f t="shared" si="36"/>
        <v>0</v>
      </c>
      <c r="AR17" s="6">
        <f t="shared" si="37"/>
        <v>0</v>
      </c>
      <c r="AS17" s="6">
        <f t="shared" si="38"/>
        <v>0</v>
      </c>
      <c r="AT17" s="6">
        <f t="shared" si="39"/>
        <v>-1</v>
      </c>
      <c r="AU17" s="6">
        <f t="shared" si="40"/>
        <v>0</v>
      </c>
      <c r="AV17" s="6">
        <f t="shared" si="41"/>
        <v>0</v>
      </c>
      <c r="AW17" s="6">
        <f t="shared" si="42"/>
        <v>-1</v>
      </c>
      <c r="AX17" s="6">
        <f t="shared" si="43"/>
        <v>-1</v>
      </c>
      <c r="AY17" s="6">
        <f t="shared" si="44"/>
        <v>0</v>
      </c>
      <c r="AZ17" s="6">
        <f t="shared" si="45"/>
        <v>0</v>
      </c>
      <c r="BA17" s="6">
        <f t="shared" si="46"/>
        <v>0</v>
      </c>
      <c r="BB17" s="6">
        <f t="shared" si="47"/>
        <v>-1</v>
      </c>
      <c r="BC17" s="6">
        <f t="shared" si="48"/>
        <v>-1</v>
      </c>
      <c r="BD17" s="6">
        <f t="shared" si="49"/>
        <v>0</v>
      </c>
      <c r="BE17" s="6">
        <f t="shared" si="50"/>
        <v>0</v>
      </c>
      <c r="BF17" s="6">
        <f t="shared" si="51"/>
        <v>0</v>
      </c>
      <c r="BG17" s="6">
        <f t="shared" si="52"/>
        <v>-1</v>
      </c>
      <c r="BH17" s="6">
        <f t="shared" si="53"/>
        <v>0</v>
      </c>
      <c r="BI17" s="6">
        <f t="shared" si="54"/>
        <v>0</v>
      </c>
      <c r="BJ17" s="6">
        <f t="shared" si="55"/>
        <v>0</v>
      </c>
      <c r="BK17" s="6">
        <f t="shared" si="56"/>
        <v>0</v>
      </c>
      <c r="BL17" s="6">
        <f t="shared" si="57"/>
        <v>0</v>
      </c>
      <c r="BM17" s="3"/>
      <c r="BN17" s="3"/>
      <c r="BO17" s="3"/>
    </row>
    <row r="18" spans="1:67" x14ac:dyDescent="0.25">
      <c r="A18" s="3">
        <v>12</v>
      </c>
      <c r="B18" s="8" t="s">
        <v>54</v>
      </c>
      <c r="C18" s="9"/>
      <c r="D18" s="191"/>
      <c r="E18" s="9"/>
      <c r="F18" s="9"/>
      <c r="G18" s="9" t="s">
        <v>299</v>
      </c>
      <c r="H18" s="9" t="s">
        <v>48</v>
      </c>
      <c r="I18" s="9" t="s">
        <v>48</v>
      </c>
      <c r="J18" s="9" t="s">
        <v>48</v>
      </c>
      <c r="K18" s="9"/>
      <c r="L18" s="9" t="s">
        <v>48</v>
      </c>
      <c r="M18" s="9" t="s">
        <v>48</v>
      </c>
      <c r="N18" s="9" t="s">
        <v>299</v>
      </c>
      <c r="O18" s="9" t="s">
        <v>48</v>
      </c>
      <c r="P18" s="9"/>
      <c r="Q18" s="9"/>
      <c r="R18" s="9" t="s">
        <v>48</v>
      </c>
      <c r="S18" s="9"/>
      <c r="T18" s="9"/>
      <c r="U18" s="9"/>
      <c r="V18" s="9" t="s">
        <v>48</v>
      </c>
      <c r="W18" s="45"/>
      <c r="X18" s="45"/>
      <c r="Y18" s="45"/>
      <c r="Z18" s="45"/>
      <c r="AA18" s="9"/>
      <c r="AB18" s="105">
        <f t="shared" si="1"/>
        <v>8</v>
      </c>
      <c r="AC18" s="101">
        <f t="shared" si="2"/>
        <v>0</v>
      </c>
      <c r="AD18" s="101">
        <f t="shared" si="3"/>
        <v>0</v>
      </c>
      <c r="AE18" s="101">
        <f t="shared" si="4"/>
        <v>0</v>
      </c>
      <c r="AF18" s="101">
        <f t="shared" si="5"/>
        <v>0</v>
      </c>
      <c r="AG18" s="102">
        <f t="shared" si="6"/>
        <v>0</v>
      </c>
      <c r="AK18" s="195">
        <f t="shared" si="7"/>
        <v>8</v>
      </c>
      <c r="AN18" s="6">
        <f t="shared" si="33"/>
        <v>0</v>
      </c>
      <c r="AO18" s="6">
        <f t="shared" si="34"/>
        <v>0</v>
      </c>
      <c r="AP18" s="6">
        <f t="shared" si="35"/>
        <v>0</v>
      </c>
      <c r="AQ18" s="6">
        <f t="shared" si="36"/>
        <v>0</v>
      </c>
      <c r="AR18" s="6">
        <f t="shared" si="37"/>
        <v>0</v>
      </c>
      <c r="AS18" s="6">
        <f t="shared" si="38"/>
        <v>0</v>
      </c>
      <c r="AT18" s="6">
        <f t="shared" si="39"/>
        <v>-1</v>
      </c>
      <c r="AU18" s="6">
        <f t="shared" si="40"/>
        <v>-1</v>
      </c>
      <c r="AV18" s="6">
        <f t="shared" si="41"/>
        <v>0</v>
      </c>
      <c r="AW18" s="6">
        <f t="shared" si="42"/>
        <v>-1</v>
      </c>
      <c r="AX18" s="6">
        <f t="shared" si="43"/>
        <v>-1</v>
      </c>
      <c r="AY18" s="6">
        <f t="shared" si="44"/>
        <v>0</v>
      </c>
      <c r="AZ18" s="6">
        <f t="shared" si="45"/>
        <v>0</v>
      </c>
      <c r="BA18" s="6">
        <f t="shared" si="46"/>
        <v>0</v>
      </c>
      <c r="BB18" s="6">
        <f t="shared" si="47"/>
        <v>0</v>
      </c>
      <c r="BC18" s="6">
        <f t="shared" si="48"/>
        <v>-1</v>
      </c>
      <c r="BD18" s="6">
        <f t="shared" si="49"/>
        <v>0</v>
      </c>
      <c r="BE18" s="6">
        <f t="shared" si="50"/>
        <v>0</v>
      </c>
      <c r="BF18" s="6">
        <f t="shared" si="51"/>
        <v>0</v>
      </c>
      <c r="BG18" s="6">
        <f t="shared" si="52"/>
        <v>-1</v>
      </c>
      <c r="BH18" s="6">
        <f t="shared" si="53"/>
        <v>0</v>
      </c>
      <c r="BI18" s="6">
        <f t="shared" si="54"/>
        <v>0</v>
      </c>
      <c r="BJ18" s="6">
        <f t="shared" si="55"/>
        <v>0</v>
      </c>
      <c r="BK18" s="6">
        <f t="shared" si="56"/>
        <v>0</v>
      </c>
      <c r="BL18" s="6">
        <f t="shared" si="57"/>
        <v>0</v>
      </c>
      <c r="BM18" s="3"/>
      <c r="BN18" s="3"/>
      <c r="BO18" s="3"/>
    </row>
    <row r="19" spans="1:67" x14ac:dyDescent="0.25">
      <c r="A19" s="3">
        <v>13</v>
      </c>
      <c r="B19" s="8" t="s">
        <v>49</v>
      </c>
      <c r="C19" s="9"/>
      <c r="D19" s="191"/>
      <c r="E19" s="9"/>
      <c r="F19" s="9" t="s">
        <v>48</v>
      </c>
      <c r="G19" s="9" t="s">
        <v>48</v>
      </c>
      <c r="H19" s="9" t="s">
        <v>48</v>
      </c>
      <c r="I19" s="9" t="s">
        <v>299</v>
      </c>
      <c r="J19" s="9" t="s">
        <v>299</v>
      </c>
      <c r="K19" s="9" t="s">
        <v>48</v>
      </c>
      <c r="L19" s="9" t="s">
        <v>48</v>
      </c>
      <c r="M19" s="9" t="s">
        <v>48</v>
      </c>
      <c r="N19" s="9" t="s">
        <v>48</v>
      </c>
      <c r="O19" s="9"/>
      <c r="P19" s="9" t="s">
        <v>48</v>
      </c>
      <c r="Q19" s="9"/>
      <c r="R19" s="9" t="s">
        <v>299</v>
      </c>
      <c r="S19" s="9"/>
      <c r="T19" s="9" t="s">
        <v>48</v>
      </c>
      <c r="U19" s="9"/>
      <c r="V19" s="9"/>
      <c r="W19" s="45"/>
      <c r="X19" s="45"/>
      <c r="Y19" s="45"/>
      <c r="Z19" s="45"/>
      <c r="AA19" s="9"/>
      <c r="AB19" s="105">
        <f t="shared" si="1"/>
        <v>9</v>
      </c>
      <c r="AC19" s="101">
        <f t="shared" si="2"/>
        <v>0</v>
      </c>
      <c r="AD19" s="101">
        <f t="shared" si="3"/>
        <v>0</v>
      </c>
      <c r="AE19" s="101">
        <f t="shared" si="4"/>
        <v>0</v>
      </c>
      <c r="AF19" s="101">
        <f t="shared" si="5"/>
        <v>0</v>
      </c>
      <c r="AG19" s="102">
        <f t="shared" si="6"/>
        <v>0</v>
      </c>
      <c r="AH19" s="6"/>
      <c r="AI19" s="6"/>
      <c r="AK19" s="195">
        <f t="shared" si="7"/>
        <v>9</v>
      </c>
      <c r="AN19" s="6">
        <f t="shared" si="33"/>
        <v>0</v>
      </c>
      <c r="AO19" s="6">
        <f t="shared" si="34"/>
        <v>0</v>
      </c>
      <c r="AP19" s="6">
        <f t="shared" si="35"/>
        <v>0</v>
      </c>
      <c r="AQ19" s="6">
        <f t="shared" si="36"/>
        <v>0</v>
      </c>
      <c r="AR19" s="6">
        <f t="shared" si="37"/>
        <v>-1</v>
      </c>
      <c r="AS19" s="6">
        <f t="shared" si="38"/>
        <v>0</v>
      </c>
      <c r="AT19" s="6">
        <f t="shared" si="39"/>
        <v>0</v>
      </c>
      <c r="AU19" s="6">
        <f t="shared" si="40"/>
        <v>0</v>
      </c>
      <c r="AV19" s="6">
        <f t="shared" si="41"/>
        <v>0</v>
      </c>
      <c r="AW19" s="6">
        <f t="shared" si="42"/>
        <v>-1</v>
      </c>
      <c r="AX19" s="6">
        <f t="shared" si="43"/>
        <v>-1</v>
      </c>
      <c r="AY19" s="6">
        <f t="shared" si="44"/>
        <v>-1</v>
      </c>
      <c r="AZ19" s="6">
        <f t="shared" si="45"/>
        <v>0</v>
      </c>
      <c r="BA19" s="6">
        <f t="shared" si="46"/>
        <v>-1</v>
      </c>
      <c r="BB19" s="6">
        <f t="shared" si="47"/>
        <v>0</v>
      </c>
      <c r="BC19" s="6">
        <f t="shared" si="48"/>
        <v>0</v>
      </c>
      <c r="BD19" s="6">
        <f t="shared" si="49"/>
        <v>0</v>
      </c>
      <c r="BE19" s="6">
        <f t="shared" si="50"/>
        <v>-1</v>
      </c>
      <c r="BF19" s="6">
        <f t="shared" si="51"/>
        <v>0</v>
      </c>
      <c r="BG19" s="6">
        <f t="shared" si="52"/>
        <v>0</v>
      </c>
      <c r="BH19" s="6">
        <f t="shared" si="53"/>
        <v>0</v>
      </c>
      <c r="BI19" s="6">
        <f t="shared" si="54"/>
        <v>0</v>
      </c>
      <c r="BJ19" s="6">
        <f t="shared" si="55"/>
        <v>0</v>
      </c>
      <c r="BK19" s="6">
        <f t="shared" si="56"/>
        <v>0</v>
      </c>
      <c r="BL19" s="6">
        <f t="shared" si="57"/>
        <v>0</v>
      </c>
      <c r="BM19" s="3"/>
      <c r="BN19" s="3"/>
      <c r="BO19" s="3"/>
    </row>
    <row r="20" spans="1:67" x14ac:dyDescent="0.25">
      <c r="A20" s="3">
        <v>14</v>
      </c>
      <c r="B20" s="8" t="s">
        <v>77</v>
      </c>
      <c r="C20" s="9"/>
      <c r="D20" s="191"/>
      <c r="E20" s="9"/>
      <c r="F20" s="9" t="s">
        <v>48</v>
      </c>
      <c r="G20" s="9"/>
      <c r="H20" s="9" t="s">
        <v>48</v>
      </c>
      <c r="I20" s="9"/>
      <c r="J20" s="9"/>
      <c r="K20" s="9"/>
      <c r="L20" s="9"/>
      <c r="M20" s="9"/>
      <c r="N20" s="9" t="s">
        <v>299</v>
      </c>
      <c r="O20" s="9"/>
      <c r="P20" s="9"/>
      <c r="Q20" s="9"/>
      <c r="R20" s="9"/>
      <c r="S20" s="9"/>
      <c r="T20" s="9" t="s">
        <v>48</v>
      </c>
      <c r="U20" s="9"/>
      <c r="V20" s="9"/>
      <c r="W20" s="45"/>
      <c r="X20" s="45"/>
      <c r="Y20" s="45"/>
      <c r="Z20" s="45"/>
      <c r="AA20" s="9"/>
      <c r="AB20" s="105">
        <f t="shared" si="1"/>
        <v>3</v>
      </c>
      <c r="AC20" s="101">
        <f t="shared" si="2"/>
        <v>0</v>
      </c>
      <c r="AD20" s="101">
        <f t="shared" si="3"/>
        <v>0</v>
      </c>
      <c r="AE20" s="101">
        <f t="shared" si="4"/>
        <v>0</v>
      </c>
      <c r="AF20" s="101">
        <f t="shared" si="5"/>
        <v>0</v>
      </c>
      <c r="AG20" s="102">
        <f t="shared" si="6"/>
        <v>0</v>
      </c>
      <c r="AH20" s="6"/>
      <c r="AI20" s="6"/>
      <c r="AK20" s="195">
        <f t="shared" si="7"/>
        <v>3</v>
      </c>
      <c r="AN20" s="6">
        <f t="shared" si="33"/>
        <v>0</v>
      </c>
      <c r="AO20" s="6">
        <f t="shared" si="34"/>
        <v>0</v>
      </c>
      <c r="AP20" s="6">
        <f t="shared" si="35"/>
        <v>0</v>
      </c>
      <c r="AQ20" s="6">
        <f t="shared" si="36"/>
        <v>0</v>
      </c>
      <c r="AR20" s="6">
        <f t="shared" si="37"/>
        <v>0</v>
      </c>
      <c r="AS20" s="6">
        <f t="shared" si="38"/>
        <v>0</v>
      </c>
      <c r="AT20" s="6">
        <f t="shared" si="39"/>
        <v>0</v>
      </c>
      <c r="AU20" s="6">
        <f t="shared" si="40"/>
        <v>0</v>
      </c>
      <c r="AV20" s="6">
        <f t="shared" si="41"/>
        <v>0</v>
      </c>
      <c r="AW20" s="6">
        <f t="shared" si="42"/>
        <v>0</v>
      </c>
      <c r="AX20" s="6">
        <f t="shared" si="43"/>
        <v>0</v>
      </c>
      <c r="AY20" s="6">
        <f t="shared" si="44"/>
        <v>0</v>
      </c>
      <c r="AZ20" s="6">
        <f t="shared" si="45"/>
        <v>0</v>
      </c>
      <c r="BA20" s="6">
        <f t="shared" si="46"/>
        <v>0</v>
      </c>
      <c r="BB20" s="6">
        <f t="shared" si="47"/>
        <v>0</v>
      </c>
      <c r="BC20" s="6">
        <f t="shared" si="48"/>
        <v>0</v>
      </c>
      <c r="BD20" s="6">
        <f t="shared" si="49"/>
        <v>0</v>
      </c>
      <c r="BE20" s="6">
        <f t="shared" si="50"/>
        <v>-1</v>
      </c>
      <c r="BF20" s="6">
        <f t="shared" si="51"/>
        <v>0</v>
      </c>
      <c r="BG20" s="6">
        <f t="shared" si="52"/>
        <v>0</v>
      </c>
      <c r="BH20" s="6">
        <f t="shared" si="53"/>
        <v>0</v>
      </c>
      <c r="BI20" s="6">
        <f t="shared" si="54"/>
        <v>0</v>
      </c>
      <c r="BJ20" s="6">
        <f t="shared" si="55"/>
        <v>0</v>
      </c>
      <c r="BK20" s="6">
        <f t="shared" si="56"/>
        <v>0</v>
      </c>
      <c r="BL20" s="6">
        <f t="shared" si="57"/>
        <v>0</v>
      </c>
      <c r="BM20" s="3"/>
      <c r="BN20" s="3"/>
      <c r="BO20" s="3"/>
    </row>
    <row r="21" spans="1:67" x14ac:dyDescent="0.25">
      <c r="A21" s="3">
        <v>15</v>
      </c>
      <c r="B21" s="8" t="s">
        <v>64</v>
      </c>
      <c r="C21" s="9" t="s">
        <v>48</v>
      </c>
      <c r="D21" s="191" t="s">
        <v>48</v>
      </c>
      <c r="E21" s="9"/>
      <c r="F21" s="9" t="s">
        <v>48</v>
      </c>
      <c r="G21" s="9" t="s">
        <v>48</v>
      </c>
      <c r="H21" s="9"/>
      <c r="I21" s="9"/>
      <c r="J21" s="9" t="s">
        <v>48</v>
      </c>
      <c r="K21" s="9"/>
      <c r="L21" s="9" t="s">
        <v>48</v>
      </c>
      <c r="M21" s="9" t="s">
        <v>299</v>
      </c>
      <c r="N21" s="9" t="s">
        <v>48</v>
      </c>
      <c r="O21" s="9" t="s">
        <v>48</v>
      </c>
      <c r="P21" s="9" t="s">
        <v>299</v>
      </c>
      <c r="Q21" s="9" t="s">
        <v>299</v>
      </c>
      <c r="R21" s="9" t="s">
        <v>299</v>
      </c>
      <c r="S21" s="9"/>
      <c r="T21" s="9" t="s">
        <v>52</v>
      </c>
      <c r="U21" s="9"/>
      <c r="V21" s="9" t="s">
        <v>52</v>
      </c>
      <c r="W21" s="45"/>
      <c r="X21" s="45"/>
      <c r="Y21" s="45"/>
      <c r="Z21" s="45"/>
      <c r="AA21" s="9"/>
      <c r="AB21" s="105">
        <f t="shared" si="1"/>
        <v>10</v>
      </c>
      <c r="AC21" s="101">
        <f t="shared" si="2"/>
        <v>0</v>
      </c>
      <c r="AD21" s="101">
        <f t="shared" si="3"/>
        <v>0</v>
      </c>
      <c r="AE21" s="101">
        <f t="shared" si="4"/>
        <v>0</v>
      </c>
      <c r="AF21" s="101">
        <f t="shared" si="5"/>
        <v>2</v>
      </c>
      <c r="AG21" s="102">
        <f t="shared" si="6"/>
        <v>0</v>
      </c>
      <c r="AK21" s="195">
        <f t="shared" si="7"/>
        <v>8</v>
      </c>
      <c r="AN21" s="6">
        <f t="shared" si="33"/>
        <v>0</v>
      </c>
      <c r="AO21" s="6">
        <f t="shared" si="34"/>
        <v>0</v>
      </c>
      <c r="AP21" s="6">
        <f t="shared" si="35"/>
        <v>0</v>
      </c>
      <c r="AQ21" s="6">
        <f t="shared" si="36"/>
        <v>0</v>
      </c>
      <c r="AR21" s="6">
        <f t="shared" si="37"/>
        <v>-1</v>
      </c>
      <c r="AS21" s="6">
        <f t="shared" si="38"/>
        <v>0</v>
      </c>
      <c r="AT21" s="6">
        <f t="shared" si="39"/>
        <v>0</v>
      </c>
      <c r="AU21" s="6">
        <f t="shared" si="40"/>
        <v>-1</v>
      </c>
      <c r="AV21" s="6">
        <f t="shared" si="41"/>
        <v>0</v>
      </c>
      <c r="AW21" s="6">
        <f t="shared" si="42"/>
        <v>-1</v>
      </c>
      <c r="AX21" s="6">
        <f t="shared" si="43"/>
        <v>0</v>
      </c>
      <c r="AY21" s="6">
        <f t="shared" si="44"/>
        <v>-1</v>
      </c>
      <c r="AZ21" s="6">
        <f t="shared" si="45"/>
        <v>0</v>
      </c>
      <c r="BA21" s="6">
        <f t="shared" si="46"/>
        <v>0</v>
      </c>
      <c r="BB21" s="6">
        <f t="shared" si="47"/>
        <v>0</v>
      </c>
      <c r="BC21" s="6">
        <f t="shared" si="48"/>
        <v>0</v>
      </c>
      <c r="BD21" s="6">
        <f t="shared" si="49"/>
        <v>0</v>
      </c>
      <c r="BE21" s="6">
        <f t="shared" si="50"/>
        <v>0</v>
      </c>
      <c r="BF21" s="6">
        <f t="shared" si="51"/>
        <v>0</v>
      </c>
      <c r="BG21" s="6">
        <f t="shared" si="52"/>
        <v>0</v>
      </c>
      <c r="BH21" s="6">
        <f t="shared" si="53"/>
        <v>0</v>
      </c>
      <c r="BI21" s="6">
        <f t="shared" si="54"/>
        <v>0</v>
      </c>
      <c r="BJ21" s="6">
        <f t="shared" si="55"/>
        <v>0</v>
      </c>
      <c r="BK21" s="6">
        <f t="shared" si="56"/>
        <v>0</v>
      </c>
      <c r="BL21" s="6">
        <f t="shared" si="57"/>
        <v>0</v>
      </c>
      <c r="BM21" s="3"/>
      <c r="BN21" s="3"/>
      <c r="BO21" s="3"/>
    </row>
    <row r="22" spans="1:67" x14ac:dyDescent="0.25">
      <c r="A22" s="3">
        <v>16</v>
      </c>
      <c r="B22" s="8" t="s">
        <v>76</v>
      </c>
      <c r="C22" s="9"/>
      <c r="D22" s="191" t="s">
        <v>48</v>
      </c>
      <c r="E22" s="9" t="s">
        <v>48</v>
      </c>
      <c r="F22" s="9" t="s">
        <v>48</v>
      </c>
      <c r="G22" s="9"/>
      <c r="H22" s="9" t="s">
        <v>48</v>
      </c>
      <c r="I22" s="9"/>
      <c r="J22" s="9" t="s">
        <v>299</v>
      </c>
      <c r="K22" s="9"/>
      <c r="L22" s="9" t="s">
        <v>48</v>
      </c>
      <c r="M22" s="9"/>
      <c r="N22" s="9" t="s">
        <v>299</v>
      </c>
      <c r="O22" s="9"/>
      <c r="P22" s="9"/>
      <c r="Q22" s="9" t="s">
        <v>299</v>
      </c>
      <c r="R22" s="9"/>
      <c r="S22" s="9" t="s">
        <v>52</v>
      </c>
      <c r="T22" s="9"/>
      <c r="U22" s="9"/>
      <c r="V22" s="9" t="s">
        <v>74</v>
      </c>
      <c r="W22" s="45"/>
      <c r="X22" s="45"/>
      <c r="Y22" s="45"/>
      <c r="Z22" s="45"/>
      <c r="AA22" s="9"/>
      <c r="AB22" s="105">
        <f t="shared" si="1"/>
        <v>7</v>
      </c>
      <c r="AC22" s="101">
        <f t="shared" si="2"/>
        <v>0</v>
      </c>
      <c r="AD22" s="101">
        <f t="shared" si="3"/>
        <v>1</v>
      </c>
      <c r="AE22" s="101">
        <f t="shared" si="4"/>
        <v>0</v>
      </c>
      <c r="AF22" s="101">
        <f t="shared" si="5"/>
        <v>1</v>
      </c>
      <c r="AG22" s="102">
        <f t="shared" si="6"/>
        <v>0</v>
      </c>
      <c r="AH22" s="6" t="s">
        <v>69</v>
      </c>
      <c r="AI22" s="6"/>
      <c r="AK22" s="195">
        <f t="shared" si="7"/>
        <v>6</v>
      </c>
      <c r="AN22" s="6">
        <f t="shared" si="33"/>
        <v>0</v>
      </c>
      <c r="AO22" s="6">
        <f t="shared" si="34"/>
        <v>0</v>
      </c>
      <c r="AP22" s="6">
        <f t="shared" si="35"/>
        <v>0</v>
      </c>
      <c r="AQ22" s="6">
        <f t="shared" si="36"/>
        <v>0</v>
      </c>
      <c r="AR22" s="6">
        <f t="shared" si="37"/>
        <v>0</v>
      </c>
      <c r="AS22" s="6">
        <f t="shared" si="38"/>
        <v>0</v>
      </c>
      <c r="AT22" s="6">
        <f t="shared" si="39"/>
        <v>0</v>
      </c>
      <c r="AU22" s="6">
        <f t="shared" si="40"/>
        <v>0</v>
      </c>
      <c r="AV22" s="6">
        <f t="shared" si="41"/>
        <v>0</v>
      </c>
      <c r="AW22" s="6">
        <f t="shared" si="42"/>
        <v>-1</v>
      </c>
      <c r="AX22" s="6">
        <f t="shared" si="43"/>
        <v>0</v>
      </c>
      <c r="AY22" s="6">
        <f t="shared" si="44"/>
        <v>0</v>
      </c>
      <c r="AZ22" s="6">
        <f t="shared" si="45"/>
        <v>0</v>
      </c>
      <c r="BA22" s="6">
        <f t="shared" si="46"/>
        <v>0</v>
      </c>
      <c r="BB22" s="6">
        <f t="shared" si="47"/>
        <v>0</v>
      </c>
      <c r="BC22" s="6">
        <f t="shared" si="48"/>
        <v>0</v>
      </c>
      <c r="BD22" s="6">
        <f t="shared" si="49"/>
        <v>0</v>
      </c>
      <c r="BE22" s="6">
        <f t="shared" si="50"/>
        <v>0</v>
      </c>
      <c r="BF22" s="6">
        <f t="shared" si="51"/>
        <v>0</v>
      </c>
      <c r="BG22" s="6">
        <f t="shared" si="52"/>
        <v>0</v>
      </c>
      <c r="BH22" s="6">
        <f t="shared" si="53"/>
        <v>0</v>
      </c>
      <c r="BI22" s="6">
        <f t="shared" si="54"/>
        <v>0</v>
      </c>
      <c r="BJ22" s="6">
        <f t="shared" si="55"/>
        <v>0</v>
      </c>
      <c r="BK22" s="6">
        <f t="shared" si="56"/>
        <v>0</v>
      </c>
      <c r="BL22" s="6">
        <f t="shared" si="57"/>
        <v>0</v>
      </c>
      <c r="BM22" s="3"/>
      <c r="BN22" s="3"/>
      <c r="BO22" s="3"/>
    </row>
    <row r="23" spans="1:67" x14ac:dyDescent="0.25">
      <c r="A23" s="3">
        <v>17</v>
      </c>
      <c r="B23" s="8" t="s">
        <v>120</v>
      </c>
      <c r="C23" s="9"/>
      <c r="D23" s="191" t="s">
        <v>48</v>
      </c>
      <c r="E23" s="9"/>
      <c r="F23" s="9"/>
      <c r="G23" s="9" t="s">
        <v>299</v>
      </c>
      <c r="H23" s="9"/>
      <c r="I23" s="9"/>
      <c r="J23" s="9"/>
      <c r="K23" s="9"/>
      <c r="L23" s="9" t="s">
        <v>52</v>
      </c>
      <c r="M23" s="9"/>
      <c r="N23" s="9"/>
      <c r="O23" s="9"/>
      <c r="P23" s="9"/>
      <c r="Q23" s="9" t="s">
        <v>52</v>
      </c>
      <c r="R23" s="9"/>
      <c r="S23" s="9"/>
      <c r="T23" s="9" t="s">
        <v>52</v>
      </c>
      <c r="U23" s="9"/>
      <c r="V23" s="9"/>
      <c r="W23" s="45"/>
      <c r="X23" s="45"/>
      <c r="Y23" s="45"/>
      <c r="Z23" s="45"/>
      <c r="AA23" s="9"/>
      <c r="AB23" s="105">
        <f t="shared" si="1"/>
        <v>4</v>
      </c>
      <c r="AC23" s="101">
        <f t="shared" si="2"/>
        <v>0</v>
      </c>
      <c r="AD23" s="101">
        <f t="shared" si="3"/>
        <v>0</v>
      </c>
      <c r="AE23" s="101">
        <f t="shared" si="4"/>
        <v>0</v>
      </c>
      <c r="AF23" s="101">
        <f t="shared" si="5"/>
        <v>3</v>
      </c>
      <c r="AG23" s="102">
        <f t="shared" si="6"/>
        <v>0</v>
      </c>
      <c r="AH23" s="6"/>
      <c r="AI23" s="6"/>
      <c r="AK23" s="195">
        <f t="shared" si="7"/>
        <v>1</v>
      </c>
      <c r="AN23" s="6">
        <f t="shared" si="33"/>
        <v>0</v>
      </c>
      <c r="AO23" s="6">
        <f t="shared" si="34"/>
        <v>0</v>
      </c>
      <c r="AP23" s="6">
        <f t="shared" si="35"/>
        <v>0</v>
      </c>
      <c r="AQ23" s="6">
        <f t="shared" si="36"/>
        <v>0</v>
      </c>
      <c r="AR23" s="6">
        <f t="shared" si="37"/>
        <v>0</v>
      </c>
      <c r="AS23" s="6">
        <f t="shared" si="38"/>
        <v>0</v>
      </c>
      <c r="AT23" s="6">
        <f t="shared" si="39"/>
        <v>0</v>
      </c>
      <c r="AU23" s="6">
        <f t="shared" si="40"/>
        <v>0</v>
      </c>
      <c r="AV23" s="6">
        <f t="shared" si="41"/>
        <v>0</v>
      </c>
      <c r="AW23" s="6">
        <f t="shared" si="42"/>
        <v>0</v>
      </c>
      <c r="AX23" s="6">
        <f t="shared" si="43"/>
        <v>0</v>
      </c>
      <c r="AY23" s="6">
        <f t="shared" si="44"/>
        <v>0</v>
      </c>
      <c r="AZ23" s="6">
        <f t="shared" si="45"/>
        <v>0</v>
      </c>
      <c r="BA23" s="6">
        <f t="shared" si="46"/>
        <v>0</v>
      </c>
      <c r="BB23" s="6">
        <f t="shared" si="47"/>
        <v>0</v>
      </c>
      <c r="BC23" s="6">
        <f t="shared" si="48"/>
        <v>0</v>
      </c>
      <c r="BD23" s="6">
        <f t="shared" si="49"/>
        <v>0</v>
      </c>
      <c r="BE23" s="6">
        <f t="shared" si="50"/>
        <v>0</v>
      </c>
      <c r="BF23" s="6">
        <f t="shared" si="51"/>
        <v>0</v>
      </c>
      <c r="BG23" s="6">
        <f t="shared" si="52"/>
        <v>0</v>
      </c>
      <c r="BH23" s="6">
        <f t="shared" si="53"/>
        <v>0</v>
      </c>
      <c r="BI23" s="6">
        <f t="shared" si="54"/>
        <v>0</v>
      </c>
      <c r="BJ23" s="6">
        <f t="shared" si="55"/>
        <v>0</v>
      </c>
      <c r="BK23" s="6">
        <f t="shared" si="56"/>
        <v>0</v>
      </c>
      <c r="BL23" s="6">
        <f t="shared" si="57"/>
        <v>0</v>
      </c>
      <c r="BM23" s="3"/>
      <c r="BN23" s="3"/>
      <c r="BO23" s="3"/>
    </row>
    <row r="24" spans="1:67" x14ac:dyDescent="0.25">
      <c r="A24" s="3">
        <v>18</v>
      </c>
      <c r="B24" s="8" t="s">
        <v>127</v>
      </c>
      <c r="C24" s="9" t="s">
        <v>48</v>
      </c>
      <c r="D24" s="191"/>
      <c r="E24" s="9"/>
      <c r="F24" s="9"/>
      <c r="G24" s="9" t="s">
        <v>299</v>
      </c>
      <c r="H24" s="9" t="s">
        <v>48</v>
      </c>
      <c r="I24" s="9" t="s">
        <v>299</v>
      </c>
      <c r="J24" s="9"/>
      <c r="K24" s="9"/>
      <c r="L24" s="9" t="s">
        <v>299</v>
      </c>
      <c r="M24" s="9"/>
      <c r="N24" s="9"/>
      <c r="O24" s="9"/>
      <c r="P24" s="9"/>
      <c r="Q24" s="9" t="s">
        <v>48</v>
      </c>
      <c r="R24" s="9"/>
      <c r="S24" s="9"/>
      <c r="T24" s="9"/>
      <c r="U24" s="9"/>
      <c r="V24" s="9"/>
      <c r="W24" s="45"/>
      <c r="X24" s="45"/>
      <c r="Y24" s="45"/>
      <c r="Z24" s="45"/>
      <c r="AA24" s="9"/>
      <c r="AB24" s="105">
        <f t="shared" si="1"/>
        <v>3</v>
      </c>
      <c r="AC24" s="101">
        <f t="shared" si="2"/>
        <v>0</v>
      </c>
      <c r="AD24" s="101">
        <f t="shared" si="3"/>
        <v>0</v>
      </c>
      <c r="AE24" s="101">
        <f t="shared" si="4"/>
        <v>0</v>
      </c>
      <c r="AF24" s="101">
        <f t="shared" si="5"/>
        <v>0</v>
      </c>
      <c r="AG24" s="102">
        <f t="shared" si="6"/>
        <v>0</v>
      </c>
      <c r="AH24" s="6"/>
      <c r="AI24" s="6"/>
      <c r="AK24" s="195">
        <f t="shared" si="7"/>
        <v>3</v>
      </c>
      <c r="AN24" s="6">
        <f t="shared" si="33"/>
        <v>0</v>
      </c>
      <c r="AO24" s="6">
        <f t="shared" si="34"/>
        <v>0</v>
      </c>
      <c r="AP24" s="6">
        <f t="shared" si="35"/>
        <v>0</v>
      </c>
      <c r="AQ24" s="6">
        <f t="shared" si="36"/>
        <v>0</v>
      </c>
      <c r="AR24" s="6">
        <f t="shared" si="37"/>
        <v>0</v>
      </c>
      <c r="AS24" s="6">
        <f t="shared" si="38"/>
        <v>0</v>
      </c>
      <c r="AT24" s="6">
        <f t="shared" si="39"/>
        <v>0</v>
      </c>
      <c r="AU24" s="6">
        <f t="shared" si="40"/>
        <v>0</v>
      </c>
      <c r="AV24" s="6">
        <f t="shared" si="41"/>
        <v>0</v>
      </c>
      <c r="AW24" s="6">
        <f t="shared" si="42"/>
        <v>0</v>
      </c>
      <c r="AX24" s="6">
        <f t="shared" si="43"/>
        <v>0</v>
      </c>
      <c r="AY24" s="6">
        <f t="shared" si="44"/>
        <v>0</v>
      </c>
      <c r="AZ24" s="6">
        <f t="shared" si="45"/>
        <v>0</v>
      </c>
      <c r="BA24" s="6">
        <f t="shared" si="46"/>
        <v>0</v>
      </c>
      <c r="BB24" s="6">
        <f t="shared" si="47"/>
        <v>-1</v>
      </c>
      <c r="BC24" s="6">
        <f t="shared" si="48"/>
        <v>0</v>
      </c>
      <c r="BD24" s="6">
        <f t="shared" si="49"/>
        <v>0</v>
      </c>
      <c r="BE24" s="6">
        <f t="shared" si="50"/>
        <v>0</v>
      </c>
      <c r="BF24" s="6">
        <f t="shared" si="51"/>
        <v>0</v>
      </c>
      <c r="BG24" s="6">
        <f t="shared" si="52"/>
        <v>0</v>
      </c>
      <c r="BH24" s="6">
        <f t="shared" si="53"/>
        <v>0</v>
      </c>
      <c r="BI24" s="6">
        <f t="shared" si="54"/>
        <v>0</v>
      </c>
      <c r="BJ24" s="6">
        <f t="shared" si="55"/>
        <v>0</v>
      </c>
      <c r="BK24" s="6">
        <f t="shared" si="56"/>
        <v>0</v>
      </c>
      <c r="BL24" s="6">
        <f t="shared" si="57"/>
        <v>0</v>
      </c>
      <c r="BM24" s="3"/>
      <c r="BN24" s="3"/>
      <c r="BO24" s="3"/>
    </row>
    <row r="25" spans="1:67" x14ac:dyDescent="0.25">
      <c r="A25" s="3">
        <v>19</v>
      </c>
      <c r="B25" s="8" t="s">
        <v>70</v>
      </c>
      <c r="C25" s="9" t="s">
        <v>74</v>
      </c>
      <c r="D25" s="191" t="s">
        <v>48</v>
      </c>
      <c r="E25" s="9" t="s">
        <v>299</v>
      </c>
      <c r="F25" s="9" t="s">
        <v>299</v>
      </c>
      <c r="G25" s="9" t="s">
        <v>52</v>
      </c>
      <c r="H25" s="9"/>
      <c r="I25" s="9" t="s">
        <v>48</v>
      </c>
      <c r="J25" s="9" t="s">
        <v>48</v>
      </c>
      <c r="K25" s="9"/>
      <c r="L25" s="9"/>
      <c r="M25" s="9" t="s">
        <v>52</v>
      </c>
      <c r="N25" s="9"/>
      <c r="O25" s="9" t="s">
        <v>52</v>
      </c>
      <c r="P25" s="9" t="s">
        <v>299</v>
      </c>
      <c r="Q25" s="9" t="s">
        <v>52</v>
      </c>
      <c r="R25" s="9" t="s">
        <v>299</v>
      </c>
      <c r="S25" s="9" t="s">
        <v>52</v>
      </c>
      <c r="T25" s="9"/>
      <c r="U25" s="9"/>
      <c r="V25" s="9"/>
      <c r="W25" s="45"/>
      <c r="X25" s="45"/>
      <c r="Y25" s="45"/>
      <c r="Z25" s="45"/>
      <c r="AA25" s="9"/>
      <c r="AB25" s="105">
        <f t="shared" si="1"/>
        <v>9</v>
      </c>
      <c r="AC25" s="101">
        <f t="shared" si="2"/>
        <v>0</v>
      </c>
      <c r="AD25" s="101">
        <f t="shared" si="3"/>
        <v>1</v>
      </c>
      <c r="AE25" s="101">
        <f t="shared" si="4"/>
        <v>0</v>
      </c>
      <c r="AF25" s="101">
        <f t="shared" si="5"/>
        <v>5</v>
      </c>
      <c r="AG25" s="102">
        <f t="shared" si="6"/>
        <v>0</v>
      </c>
      <c r="AK25" s="195">
        <f t="shared" si="7"/>
        <v>4</v>
      </c>
      <c r="AN25" s="6">
        <f t="shared" si="33"/>
        <v>0</v>
      </c>
      <c r="AO25" s="6">
        <f t="shared" si="34"/>
        <v>0</v>
      </c>
      <c r="AP25" s="6">
        <f t="shared" si="35"/>
        <v>0</v>
      </c>
      <c r="AQ25" s="6">
        <f t="shared" si="36"/>
        <v>0</v>
      </c>
      <c r="AR25" s="6">
        <f t="shared" si="37"/>
        <v>0</v>
      </c>
      <c r="AS25" s="6">
        <f t="shared" si="38"/>
        <v>0</v>
      </c>
      <c r="AT25" s="6">
        <f t="shared" si="39"/>
        <v>-1</v>
      </c>
      <c r="AU25" s="6">
        <f t="shared" si="40"/>
        <v>-1</v>
      </c>
      <c r="AV25" s="6">
        <f t="shared" si="41"/>
        <v>0</v>
      </c>
      <c r="AW25" s="6">
        <f t="shared" si="42"/>
        <v>0</v>
      </c>
      <c r="AX25" s="6">
        <f t="shared" si="43"/>
        <v>0</v>
      </c>
      <c r="AY25" s="6">
        <f t="shared" si="44"/>
        <v>0</v>
      </c>
      <c r="AZ25" s="6">
        <f t="shared" si="45"/>
        <v>0</v>
      </c>
      <c r="BA25" s="6">
        <f t="shared" si="46"/>
        <v>0</v>
      </c>
      <c r="BB25" s="6">
        <f t="shared" si="47"/>
        <v>0</v>
      </c>
      <c r="BC25" s="6">
        <f t="shared" si="48"/>
        <v>0</v>
      </c>
      <c r="BD25" s="6">
        <f t="shared" si="49"/>
        <v>0</v>
      </c>
      <c r="BE25" s="6">
        <f t="shared" si="50"/>
        <v>0</v>
      </c>
      <c r="BF25" s="6">
        <f t="shared" si="51"/>
        <v>0</v>
      </c>
      <c r="BG25" s="6">
        <f t="shared" si="52"/>
        <v>0</v>
      </c>
      <c r="BH25" s="6">
        <f t="shared" si="53"/>
        <v>0</v>
      </c>
      <c r="BI25" s="6">
        <f t="shared" si="54"/>
        <v>0</v>
      </c>
      <c r="BJ25" s="6">
        <f t="shared" si="55"/>
        <v>0</v>
      </c>
      <c r="BK25" s="6">
        <f t="shared" si="56"/>
        <v>0</v>
      </c>
      <c r="BL25" s="6">
        <f t="shared" si="57"/>
        <v>0</v>
      </c>
      <c r="BM25" s="3"/>
      <c r="BN25" s="3"/>
      <c r="BO25" s="3"/>
    </row>
    <row r="26" spans="1:67" x14ac:dyDescent="0.25">
      <c r="A26" s="3">
        <v>20</v>
      </c>
      <c r="B26" s="8" t="s">
        <v>58</v>
      </c>
      <c r="C26" s="9" t="s">
        <v>48</v>
      </c>
      <c r="D26" s="191" t="s">
        <v>52</v>
      </c>
      <c r="E26" s="9" t="s">
        <v>52</v>
      </c>
      <c r="F26" s="9"/>
      <c r="G26" s="9"/>
      <c r="H26" s="9" t="s">
        <v>48</v>
      </c>
      <c r="I26" s="9" t="s">
        <v>299</v>
      </c>
      <c r="J26" s="9"/>
      <c r="K26" s="9"/>
      <c r="L26" s="9" t="s">
        <v>299</v>
      </c>
      <c r="M26" s="9" t="s">
        <v>299</v>
      </c>
      <c r="N26" s="9"/>
      <c r="O26" s="9"/>
      <c r="P26" s="9"/>
      <c r="Q26" s="9" t="s">
        <v>52</v>
      </c>
      <c r="R26" s="9" t="s">
        <v>52</v>
      </c>
      <c r="S26" s="9" t="s">
        <v>52</v>
      </c>
      <c r="T26" s="9"/>
      <c r="U26" s="9"/>
      <c r="V26" s="9"/>
      <c r="W26" s="45"/>
      <c r="X26" s="45"/>
      <c r="Y26" s="45"/>
      <c r="Z26" s="45"/>
      <c r="AA26" s="9"/>
      <c r="AB26" s="105">
        <f t="shared" si="1"/>
        <v>7</v>
      </c>
      <c r="AC26" s="101">
        <f t="shared" si="2"/>
        <v>0</v>
      </c>
      <c r="AD26" s="101">
        <f t="shared" si="3"/>
        <v>0</v>
      </c>
      <c r="AE26" s="101">
        <f t="shared" si="4"/>
        <v>0</v>
      </c>
      <c r="AF26" s="101">
        <f t="shared" si="5"/>
        <v>5</v>
      </c>
      <c r="AG26" s="102">
        <f t="shared" si="6"/>
        <v>0</v>
      </c>
      <c r="AK26" s="195">
        <f t="shared" si="7"/>
        <v>2</v>
      </c>
      <c r="AN26" s="6">
        <f t="shared" si="33"/>
        <v>0</v>
      </c>
      <c r="AO26" s="6">
        <f t="shared" si="34"/>
        <v>0</v>
      </c>
      <c r="AP26" s="6">
        <f t="shared" si="35"/>
        <v>0</v>
      </c>
      <c r="AQ26" s="6">
        <f t="shared" si="36"/>
        <v>0</v>
      </c>
      <c r="AR26" s="6">
        <f t="shared" si="37"/>
        <v>0</v>
      </c>
      <c r="AS26" s="6">
        <f t="shared" si="38"/>
        <v>0</v>
      </c>
      <c r="AT26" s="6">
        <f t="shared" si="39"/>
        <v>0</v>
      </c>
      <c r="AU26" s="6">
        <f t="shared" si="40"/>
        <v>0</v>
      </c>
      <c r="AV26" s="6">
        <f t="shared" si="41"/>
        <v>0</v>
      </c>
      <c r="AW26" s="6">
        <f t="shared" si="42"/>
        <v>0</v>
      </c>
      <c r="AX26" s="6">
        <f t="shared" si="43"/>
        <v>0</v>
      </c>
      <c r="AY26" s="6">
        <f t="shared" si="44"/>
        <v>0</v>
      </c>
      <c r="AZ26" s="6">
        <f t="shared" si="45"/>
        <v>0</v>
      </c>
      <c r="BA26" s="6">
        <f t="shared" si="46"/>
        <v>0</v>
      </c>
      <c r="BB26" s="6">
        <f t="shared" si="47"/>
        <v>0</v>
      </c>
      <c r="BC26" s="6">
        <f t="shared" si="48"/>
        <v>0</v>
      </c>
      <c r="BD26" s="6">
        <f t="shared" si="49"/>
        <v>0</v>
      </c>
      <c r="BE26" s="6">
        <f t="shared" si="50"/>
        <v>0</v>
      </c>
      <c r="BF26" s="6">
        <f t="shared" si="51"/>
        <v>0</v>
      </c>
      <c r="BG26" s="6">
        <f t="shared" si="52"/>
        <v>0</v>
      </c>
      <c r="BH26" s="6">
        <f t="shared" si="53"/>
        <v>0</v>
      </c>
      <c r="BI26" s="6">
        <f t="shared" si="54"/>
        <v>0</v>
      </c>
      <c r="BJ26" s="6">
        <f t="shared" si="55"/>
        <v>0</v>
      </c>
      <c r="BK26" s="6">
        <f t="shared" si="56"/>
        <v>0</v>
      </c>
      <c r="BL26" s="6">
        <f t="shared" si="57"/>
        <v>0</v>
      </c>
      <c r="BM26" s="3"/>
      <c r="BN26" s="3"/>
      <c r="BO26" s="3"/>
    </row>
    <row r="27" spans="1:67" x14ac:dyDescent="0.25">
      <c r="A27" s="3">
        <v>21</v>
      </c>
      <c r="B27" s="8" t="s">
        <v>68</v>
      </c>
      <c r="C27" s="9"/>
      <c r="D27" s="191"/>
      <c r="E27" s="9" t="s">
        <v>48</v>
      </c>
      <c r="F27" s="9"/>
      <c r="G27" s="9" t="s">
        <v>299</v>
      </c>
      <c r="H27" s="9"/>
      <c r="I27" s="9"/>
      <c r="J27" s="9" t="s">
        <v>299</v>
      </c>
      <c r="K27" s="9"/>
      <c r="L27" s="9"/>
      <c r="M27" s="9"/>
      <c r="N27" s="9"/>
      <c r="O27" s="9"/>
      <c r="P27" s="9"/>
      <c r="Q27" s="9"/>
      <c r="R27" s="9" t="s">
        <v>52</v>
      </c>
      <c r="S27" s="9"/>
      <c r="T27" s="9" t="s">
        <v>52</v>
      </c>
      <c r="U27" s="9"/>
      <c r="V27" s="9"/>
      <c r="W27" s="45"/>
      <c r="X27" s="45"/>
      <c r="Y27" s="45"/>
      <c r="Z27" s="45"/>
      <c r="AA27" s="9"/>
      <c r="AB27" s="105">
        <f t="shared" si="1"/>
        <v>3</v>
      </c>
      <c r="AC27" s="101">
        <f t="shared" si="2"/>
        <v>0</v>
      </c>
      <c r="AD27" s="101">
        <f t="shared" si="3"/>
        <v>0</v>
      </c>
      <c r="AE27" s="101">
        <f t="shared" si="4"/>
        <v>0</v>
      </c>
      <c r="AF27" s="101">
        <f t="shared" si="5"/>
        <v>2</v>
      </c>
      <c r="AG27" s="102">
        <f t="shared" si="6"/>
        <v>0</v>
      </c>
      <c r="AK27" s="195">
        <f t="shared" si="7"/>
        <v>1</v>
      </c>
      <c r="AN27" s="6">
        <f t="shared" si="33"/>
        <v>0</v>
      </c>
      <c r="AO27" s="6">
        <f t="shared" si="34"/>
        <v>0</v>
      </c>
      <c r="AP27" s="6">
        <f t="shared" si="35"/>
        <v>0</v>
      </c>
      <c r="AQ27" s="6">
        <f t="shared" si="36"/>
        <v>0</v>
      </c>
      <c r="AR27" s="6">
        <f t="shared" si="37"/>
        <v>0</v>
      </c>
      <c r="AS27" s="6">
        <f t="shared" si="38"/>
        <v>0</v>
      </c>
      <c r="AT27" s="6">
        <f t="shared" si="39"/>
        <v>0</v>
      </c>
      <c r="AU27" s="6">
        <f t="shared" si="40"/>
        <v>0</v>
      </c>
      <c r="AV27" s="6">
        <f t="shared" si="41"/>
        <v>0</v>
      </c>
      <c r="AW27" s="6">
        <f t="shared" si="42"/>
        <v>0</v>
      </c>
      <c r="AX27" s="6">
        <f t="shared" si="43"/>
        <v>0</v>
      </c>
      <c r="AY27" s="6">
        <f t="shared" si="44"/>
        <v>0</v>
      </c>
      <c r="AZ27" s="6">
        <f t="shared" si="45"/>
        <v>0</v>
      </c>
      <c r="BA27" s="6">
        <f t="shared" si="46"/>
        <v>0</v>
      </c>
      <c r="BB27" s="6">
        <f t="shared" si="47"/>
        <v>0</v>
      </c>
      <c r="BC27" s="6">
        <f t="shared" si="48"/>
        <v>0</v>
      </c>
      <c r="BD27" s="6">
        <f t="shared" si="49"/>
        <v>0</v>
      </c>
      <c r="BE27" s="6">
        <f t="shared" si="50"/>
        <v>0</v>
      </c>
      <c r="BF27" s="6">
        <f t="shared" si="51"/>
        <v>0</v>
      </c>
      <c r="BG27" s="6">
        <f t="shared" si="52"/>
        <v>0</v>
      </c>
      <c r="BH27" s="6">
        <f t="shared" si="53"/>
        <v>0</v>
      </c>
      <c r="BI27" s="6">
        <f t="shared" si="54"/>
        <v>0</v>
      </c>
      <c r="BJ27" s="6">
        <f t="shared" si="55"/>
        <v>0</v>
      </c>
      <c r="BK27" s="6">
        <f t="shared" si="56"/>
        <v>0</v>
      </c>
      <c r="BL27" s="6">
        <f t="shared" si="57"/>
        <v>0</v>
      </c>
      <c r="BM27" s="3"/>
      <c r="BN27" s="3"/>
      <c r="BO27" s="3"/>
    </row>
    <row r="28" spans="1:67" x14ac:dyDescent="0.25">
      <c r="A28" s="3">
        <v>22</v>
      </c>
      <c r="B28" s="8" t="s">
        <v>73</v>
      </c>
      <c r="C28" s="9"/>
      <c r="D28" s="191" t="s">
        <v>74</v>
      </c>
      <c r="E28" s="9" t="s">
        <v>74</v>
      </c>
      <c r="F28" s="9" t="s">
        <v>74</v>
      </c>
      <c r="G28" s="9"/>
      <c r="H28" s="9" t="s">
        <v>74</v>
      </c>
      <c r="I28" s="9" t="s">
        <v>74</v>
      </c>
      <c r="J28" s="9"/>
      <c r="K28" s="9" t="s">
        <v>74</v>
      </c>
      <c r="L28" s="9" t="s">
        <v>74</v>
      </c>
      <c r="M28" s="9" t="s">
        <v>74</v>
      </c>
      <c r="N28" s="9" t="s">
        <v>74</v>
      </c>
      <c r="O28" s="9" t="s">
        <v>74</v>
      </c>
      <c r="P28" s="9"/>
      <c r="Q28" s="9"/>
      <c r="R28" s="9" t="s">
        <v>74</v>
      </c>
      <c r="S28" s="9" t="s">
        <v>74</v>
      </c>
      <c r="T28" s="9" t="s">
        <v>74</v>
      </c>
      <c r="U28" s="9"/>
      <c r="V28" s="9" t="s">
        <v>52</v>
      </c>
      <c r="W28" s="45"/>
      <c r="X28" s="45"/>
      <c r="Y28" s="45"/>
      <c r="Z28" s="45"/>
      <c r="AA28" s="9"/>
      <c r="AB28" s="105">
        <f t="shared" si="1"/>
        <v>14</v>
      </c>
      <c r="AC28" s="101">
        <f t="shared" si="2"/>
        <v>0</v>
      </c>
      <c r="AD28" s="101">
        <f t="shared" si="3"/>
        <v>13</v>
      </c>
      <c r="AE28" s="101">
        <f t="shared" si="4"/>
        <v>0</v>
      </c>
      <c r="AF28" s="101">
        <f t="shared" si="5"/>
        <v>1</v>
      </c>
      <c r="AG28" s="102" t="e">
        <f t="shared" si="6"/>
        <v>#DIV/0!</v>
      </c>
      <c r="AH28" s="6"/>
      <c r="AI28" s="6"/>
      <c r="AK28" s="195">
        <f t="shared" si="7"/>
        <v>13</v>
      </c>
      <c r="AN28" s="6">
        <f t="shared" si="33"/>
        <v>0</v>
      </c>
      <c r="AO28" s="6">
        <f t="shared" si="34"/>
        <v>0</v>
      </c>
      <c r="AP28" s="6">
        <f t="shared" si="35"/>
        <v>0</v>
      </c>
      <c r="AQ28" s="6">
        <f t="shared" si="36"/>
        <v>0</v>
      </c>
      <c r="AR28" s="6">
        <f t="shared" si="37"/>
        <v>0</v>
      </c>
      <c r="AS28" s="6">
        <f t="shared" si="38"/>
        <v>0</v>
      </c>
      <c r="AT28" s="6">
        <f t="shared" si="39"/>
        <v>0</v>
      </c>
      <c r="AU28" s="6">
        <f t="shared" si="40"/>
        <v>0</v>
      </c>
      <c r="AV28" s="6">
        <f t="shared" si="41"/>
        <v>0</v>
      </c>
      <c r="AW28" s="6">
        <f t="shared" si="42"/>
        <v>0</v>
      </c>
      <c r="AX28" s="6">
        <f t="shared" si="43"/>
        <v>0</v>
      </c>
      <c r="AY28" s="6">
        <f t="shared" si="44"/>
        <v>0</v>
      </c>
      <c r="AZ28" s="6">
        <f t="shared" si="45"/>
        <v>0</v>
      </c>
      <c r="BA28" s="6">
        <f t="shared" si="46"/>
        <v>0</v>
      </c>
      <c r="BB28" s="6">
        <f t="shared" si="47"/>
        <v>0</v>
      </c>
      <c r="BC28" s="6">
        <f t="shared" si="48"/>
        <v>0</v>
      </c>
      <c r="BD28" s="6">
        <f t="shared" si="49"/>
        <v>0</v>
      </c>
      <c r="BE28" s="6">
        <f t="shared" si="50"/>
        <v>0</v>
      </c>
      <c r="BF28" s="6">
        <f t="shared" si="51"/>
        <v>0</v>
      </c>
      <c r="BG28" s="6">
        <f t="shared" si="52"/>
        <v>0</v>
      </c>
      <c r="BH28" s="6">
        <f t="shared" si="53"/>
        <v>0</v>
      </c>
      <c r="BI28" s="6">
        <f t="shared" si="54"/>
        <v>0</v>
      </c>
      <c r="BJ28" s="6">
        <f t="shared" si="55"/>
        <v>0</v>
      </c>
      <c r="BK28" s="6">
        <f t="shared" si="56"/>
        <v>0</v>
      </c>
      <c r="BL28" s="6">
        <f t="shared" si="57"/>
        <v>0</v>
      </c>
      <c r="BM28" s="3"/>
      <c r="BN28" s="3"/>
      <c r="BO28" s="3"/>
    </row>
    <row r="29" spans="1:67" x14ac:dyDescent="0.25">
      <c r="A29" s="3">
        <v>29</v>
      </c>
      <c r="B29" s="8" t="s">
        <v>75</v>
      </c>
      <c r="C29" s="9"/>
      <c r="D29" s="191"/>
      <c r="E29" s="9" t="s">
        <v>52</v>
      </c>
      <c r="F29" s="9"/>
      <c r="G29" s="9" t="s">
        <v>74</v>
      </c>
      <c r="H29" s="9"/>
      <c r="I29" s="9"/>
      <c r="J29" s="9" t="s">
        <v>74</v>
      </c>
      <c r="K29" s="9"/>
      <c r="L29" s="9"/>
      <c r="M29" s="9"/>
      <c r="N29" s="9"/>
      <c r="O29" s="9" t="s">
        <v>52</v>
      </c>
      <c r="P29" s="9" t="s">
        <v>74</v>
      </c>
      <c r="Q29" s="9" t="s">
        <v>74</v>
      </c>
      <c r="R29" s="9"/>
      <c r="S29" s="9" t="s">
        <v>52</v>
      </c>
      <c r="T29" s="9"/>
      <c r="U29" s="9"/>
      <c r="V29" s="9"/>
      <c r="W29" s="45"/>
      <c r="X29" s="45"/>
      <c r="Y29" s="45"/>
      <c r="Z29" s="45"/>
      <c r="AA29" s="9"/>
      <c r="AB29" s="105">
        <f t="shared" si="1"/>
        <v>7</v>
      </c>
      <c r="AC29" s="101">
        <f t="shared" si="2"/>
        <v>0</v>
      </c>
      <c r="AD29" s="101">
        <f t="shared" si="3"/>
        <v>4</v>
      </c>
      <c r="AE29" s="101">
        <f t="shared" si="4"/>
        <v>0</v>
      </c>
      <c r="AF29" s="101">
        <f t="shared" si="5"/>
        <v>3</v>
      </c>
      <c r="AG29" s="102" t="e">
        <f t="shared" si="6"/>
        <v>#DIV/0!</v>
      </c>
      <c r="AH29" s="6"/>
      <c r="AI29" s="6"/>
      <c r="AK29" s="195">
        <f t="shared" si="7"/>
        <v>4</v>
      </c>
      <c r="AN29" s="6">
        <f t="shared" si="33"/>
        <v>0</v>
      </c>
      <c r="AO29" s="6">
        <f t="shared" si="34"/>
        <v>0</v>
      </c>
      <c r="AP29" s="6">
        <f t="shared" si="35"/>
        <v>0</v>
      </c>
      <c r="AQ29" s="6">
        <f t="shared" si="36"/>
        <v>0</v>
      </c>
      <c r="AR29" s="6">
        <f t="shared" si="37"/>
        <v>0</v>
      </c>
      <c r="AS29" s="6">
        <f t="shared" si="38"/>
        <v>0</v>
      </c>
      <c r="AT29" s="6">
        <f t="shared" si="39"/>
        <v>0</v>
      </c>
      <c r="AU29" s="6">
        <f t="shared" si="40"/>
        <v>0</v>
      </c>
      <c r="AV29" s="6">
        <f t="shared" si="41"/>
        <v>0</v>
      </c>
      <c r="AW29" s="6">
        <f t="shared" si="42"/>
        <v>0</v>
      </c>
      <c r="AX29" s="6">
        <f t="shared" si="43"/>
        <v>0</v>
      </c>
      <c r="AY29" s="6">
        <f t="shared" si="44"/>
        <v>0</v>
      </c>
      <c r="AZ29" s="6">
        <f t="shared" si="45"/>
        <v>0</v>
      </c>
      <c r="BA29" s="6">
        <f t="shared" si="46"/>
        <v>0</v>
      </c>
      <c r="BB29" s="6">
        <f t="shared" si="47"/>
        <v>0</v>
      </c>
      <c r="BC29" s="6">
        <f t="shared" si="48"/>
        <v>0</v>
      </c>
      <c r="BD29" s="6">
        <f t="shared" si="49"/>
        <v>0</v>
      </c>
      <c r="BE29" s="6">
        <f t="shared" si="50"/>
        <v>0</v>
      </c>
      <c r="BF29" s="6">
        <f t="shared" si="51"/>
        <v>0</v>
      </c>
      <c r="BG29" s="6">
        <f t="shared" si="52"/>
        <v>0</v>
      </c>
      <c r="BH29" s="6">
        <f t="shared" si="53"/>
        <v>0</v>
      </c>
      <c r="BI29" s="6">
        <f t="shared" si="54"/>
        <v>0</v>
      </c>
      <c r="BJ29" s="6">
        <f t="shared" si="55"/>
        <v>0</v>
      </c>
      <c r="BK29" s="6">
        <f t="shared" si="56"/>
        <v>0</v>
      </c>
      <c r="BL29" s="6">
        <f t="shared" si="57"/>
        <v>0</v>
      </c>
      <c r="BM29" s="3"/>
      <c r="BN29" s="3"/>
      <c r="BO29" s="3"/>
    </row>
    <row r="30" spans="1:67" x14ac:dyDescent="0.25">
      <c r="A30" s="3">
        <v>23</v>
      </c>
      <c r="B30" s="8" t="s">
        <v>78</v>
      </c>
      <c r="C30" s="9"/>
      <c r="D30" s="191"/>
      <c r="E30" s="9"/>
      <c r="F30" s="9" t="s">
        <v>48</v>
      </c>
      <c r="G30" s="9"/>
      <c r="H30" s="9"/>
      <c r="I30" s="9"/>
      <c r="J30" s="9"/>
      <c r="K30" s="9"/>
      <c r="L30" s="9" t="s">
        <v>48</v>
      </c>
      <c r="M30" s="9"/>
      <c r="N30" s="9"/>
      <c r="O30" s="9"/>
      <c r="P30" s="9" t="s">
        <v>48</v>
      </c>
      <c r="Q30" s="9"/>
      <c r="R30" s="9"/>
      <c r="S30" s="9" t="s">
        <v>48</v>
      </c>
      <c r="T30" s="9" t="s">
        <v>48</v>
      </c>
      <c r="U30" s="9"/>
      <c r="V30" s="9"/>
      <c r="W30" s="45"/>
      <c r="X30" s="45"/>
      <c r="Y30" s="45"/>
      <c r="Z30" s="45"/>
      <c r="AA30" s="9"/>
      <c r="AB30" s="105">
        <f t="shared" si="1"/>
        <v>5</v>
      </c>
      <c r="AC30" s="101">
        <f t="shared" si="2"/>
        <v>0</v>
      </c>
      <c r="AD30" s="101">
        <f t="shared" si="3"/>
        <v>0</v>
      </c>
      <c r="AE30" s="101">
        <f t="shared" si="4"/>
        <v>0</v>
      </c>
      <c r="AF30" s="101">
        <f t="shared" si="5"/>
        <v>0</v>
      </c>
      <c r="AG30" s="102">
        <f t="shared" si="6"/>
        <v>0</v>
      </c>
      <c r="AK30" s="195">
        <f t="shared" si="7"/>
        <v>5</v>
      </c>
      <c r="AN30" s="6">
        <f t="shared" si="33"/>
        <v>0</v>
      </c>
      <c r="AO30" s="6">
        <f t="shared" si="34"/>
        <v>0</v>
      </c>
      <c r="AP30" s="6">
        <f t="shared" si="35"/>
        <v>0</v>
      </c>
      <c r="AQ30" s="6">
        <f t="shared" si="36"/>
        <v>0</v>
      </c>
      <c r="AR30" s="6">
        <f t="shared" si="37"/>
        <v>0</v>
      </c>
      <c r="AS30" s="6">
        <f t="shared" si="38"/>
        <v>0</v>
      </c>
      <c r="AT30" s="6">
        <f t="shared" si="39"/>
        <v>0</v>
      </c>
      <c r="AU30" s="6">
        <f t="shared" si="40"/>
        <v>0</v>
      </c>
      <c r="AV30" s="6">
        <f t="shared" si="41"/>
        <v>0</v>
      </c>
      <c r="AW30" s="6">
        <f t="shared" si="42"/>
        <v>-1</v>
      </c>
      <c r="AX30" s="6">
        <f t="shared" si="43"/>
        <v>0</v>
      </c>
      <c r="AY30" s="6">
        <f t="shared" si="44"/>
        <v>0</v>
      </c>
      <c r="AZ30" s="6">
        <f t="shared" si="45"/>
        <v>0</v>
      </c>
      <c r="BA30" s="6">
        <f t="shared" si="46"/>
        <v>-1</v>
      </c>
      <c r="BB30" s="6">
        <f t="shared" si="47"/>
        <v>0</v>
      </c>
      <c r="BC30" s="6">
        <f t="shared" si="48"/>
        <v>0</v>
      </c>
      <c r="BD30" s="6">
        <f t="shared" si="49"/>
        <v>0</v>
      </c>
      <c r="BE30" s="6">
        <f t="shared" si="50"/>
        <v>-1</v>
      </c>
      <c r="BF30" s="6">
        <f t="shared" si="51"/>
        <v>0</v>
      </c>
      <c r="BG30" s="6">
        <f t="shared" si="52"/>
        <v>0</v>
      </c>
      <c r="BH30" s="6">
        <f t="shared" si="53"/>
        <v>0</v>
      </c>
      <c r="BI30" s="6">
        <f t="shared" si="54"/>
        <v>0</v>
      </c>
      <c r="BJ30" s="6">
        <f t="shared" si="55"/>
        <v>0</v>
      </c>
      <c r="BK30" s="6">
        <f t="shared" si="56"/>
        <v>0</v>
      </c>
      <c r="BL30" s="6">
        <f t="shared" si="57"/>
        <v>0</v>
      </c>
      <c r="BM30" s="3"/>
      <c r="BN30" s="3"/>
      <c r="BO30" s="3"/>
    </row>
    <row r="31" spans="1:67" x14ac:dyDescent="0.25">
      <c r="A31" s="3">
        <v>24</v>
      </c>
      <c r="B31" s="8" t="s">
        <v>131</v>
      </c>
      <c r="C31" s="9"/>
      <c r="D31" s="191"/>
      <c r="E31" s="9" t="s">
        <v>48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 t="s">
        <v>299</v>
      </c>
      <c r="R31" s="9"/>
      <c r="S31" s="9" t="s">
        <v>48</v>
      </c>
      <c r="T31" s="9"/>
      <c r="U31" s="9"/>
      <c r="V31" s="9"/>
      <c r="W31" s="45"/>
      <c r="X31" s="45"/>
      <c r="Y31" s="45"/>
      <c r="Z31" s="45"/>
      <c r="AA31" s="9"/>
      <c r="AB31" s="105">
        <f t="shared" si="1"/>
        <v>2</v>
      </c>
      <c r="AC31" s="101">
        <f t="shared" si="2"/>
        <v>0</v>
      </c>
      <c r="AD31" s="101">
        <f t="shared" si="3"/>
        <v>0</v>
      </c>
      <c r="AE31" s="101">
        <f t="shared" si="4"/>
        <v>0</v>
      </c>
      <c r="AF31" s="101">
        <f t="shared" si="5"/>
        <v>0</v>
      </c>
      <c r="AG31" s="102">
        <f t="shared" si="6"/>
        <v>0</v>
      </c>
      <c r="AH31" s="6"/>
      <c r="AI31" s="6"/>
      <c r="AK31" s="195">
        <f t="shared" si="7"/>
        <v>2</v>
      </c>
      <c r="AN31" s="6">
        <f t="shared" si="33"/>
        <v>0</v>
      </c>
      <c r="AO31" s="6">
        <f t="shared" si="34"/>
        <v>0</v>
      </c>
      <c r="AP31" s="6">
        <f t="shared" si="35"/>
        <v>0</v>
      </c>
      <c r="AQ31" s="6">
        <f t="shared" si="36"/>
        <v>0</v>
      </c>
      <c r="AR31" s="6">
        <f t="shared" si="37"/>
        <v>0</v>
      </c>
      <c r="AS31" s="6">
        <f t="shared" si="38"/>
        <v>0</v>
      </c>
      <c r="AT31" s="6">
        <f t="shared" si="39"/>
        <v>0</v>
      </c>
      <c r="AU31" s="6">
        <f t="shared" si="40"/>
        <v>0</v>
      </c>
      <c r="AV31" s="6">
        <f t="shared" si="41"/>
        <v>0</v>
      </c>
      <c r="AW31" s="6">
        <f t="shared" si="42"/>
        <v>0</v>
      </c>
      <c r="AX31" s="6">
        <f t="shared" si="43"/>
        <v>0</v>
      </c>
      <c r="AY31" s="6">
        <f t="shared" si="44"/>
        <v>0</v>
      </c>
      <c r="AZ31" s="6">
        <f t="shared" si="45"/>
        <v>0</v>
      </c>
      <c r="BA31" s="6">
        <f t="shared" si="46"/>
        <v>0</v>
      </c>
      <c r="BB31" s="6">
        <f t="shared" si="47"/>
        <v>0</v>
      </c>
      <c r="BC31" s="6">
        <f t="shared" si="48"/>
        <v>0</v>
      </c>
      <c r="BD31" s="6">
        <f t="shared" si="49"/>
        <v>0</v>
      </c>
      <c r="BE31" s="6">
        <f t="shared" si="50"/>
        <v>0</v>
      </c>
      <c r="BF31" s="6">
        <f t="shared" si="51"/>
        <v>0</v>
      </c>
      <c r="BG31" s="6">
        <f t="shared" si="52"/>
        <v>0</v>
      </c>
      <c r="BH31" s="6">
        <f t="shared" si="53"/>
        <v>0</v>
      </c>
      <c r="BI31" s="6">
        <f t="shared" si="54"/>
        <v>0</v>
      </c>
      <c r="BJ31" s="6">
        <f t="shared" si="55"/>
        <v>0</v>
      </c>
      <c r="BK31" s="6">
        <f t="shared" si="56"/>
        <v>0</v>
      </c>
      <c r="BL31" s="6">
        <f t="shared" si="57"/>
        <v>0</v>
      </c>
      <c r="BM31" s="3"/>
      <c r="BN31" s="3"/>
      <c r="BO31" s="3"/>
    </row>
    <row r="32" spans="1:67" x14ac:dyDescent="0.25">
      <c r="A32" s="3">
        <v>25</v>
      </c>
      <c r="B32" s="8" t="s">
        <v>79</v>
      </c>
      <c r="C32" s="9"/>
      <c r="D32" s="191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45"/>
      <c r="X32" s="45"/>
      <c r="Y32" s="45"/>
      <c r="Z32" s="45"/>
      <c r="AA32" s="9"/>
      <c r="AB32" s="105">
        <f t="shared" si="1"/>
        <v>0</v>
      </c>
      <c r="AC32" s="101">
        <f t="shared" si="2"/>
        <v>0</v>
      </c>
      <c r="AD32" s="101">
        <f t="shared" si="3"/>
        <v>0</v>
      </c>
      <c r="AE32" s="101">
        <f t="shared" si="4"/>
        <v>0</v>
      </c>
      <c r="AF32" s="101">
        <f t="shared" si="5"/>
        <v>0</v>
      </c>
      <c r="AG32" s="102" t="e">
        <f t="shared" si="6"/>
        <v>#DIV/0!</v>
      </c>
      <c r="AH32" s="6"/>
      <c r="AI32" s="6"/>
      <c r="AK32" s="195">
        <f t="shared" si="7"/>
        <v>0</v>
      </c>
      <c r="AN32" s="6">
        <f t="shared" si="33"/>
        <v>0</v>
      </c>
      <c r="AO32" s="6">
        <f t="shared" si="34"/>
        <v>0</v>
      </c>
      <c r="AP32" s="6">
        <f t="shared" si="35"/>
        <v>0</v>
      </c>
      <c r="AQ32" s="6">
        <f t="shared" si="36"/>
        <v>0</v>
      </c>
      <c r="AR32" s="6">
        <f t="shared" si="37"/>
        <v>0</v>
      </c>
      <c r="AS32" s="6">
        <f t="shared" si="38"/>
        <v>0</v>
      </c>
      <c r="AT32" s="6">
        <f t="shared" si="39"/>
        <v>0</v>
      </c>
      <c r="AU32" s="6">
        <f t="shared" si="40"/>
        <v>0</v>
      </c>
      <c r="AV32" s="6">
        <f t="shared" si="41"/>
        <v>0</v>
      </c>
      <c r="AW32" s="6">
        <f t="shared" si="42"/>
        <v>0</v>
      </c>
      <c r="AX32" s="6">
        <f t="shared" si="43"/>
        <v>0</v>
      </c>
      <c r="AY32" s="6">
        <f t="shared" si="44"/>
        <v>0</v>
      </c>
      <c r="AZ32" s="6">
        <f t="shared" si="45"/>
        <v>0</v>
      </c>
      <c r="BA32" s="6">
        <f t="shared" si="46"/>
        <v>0</v>
      </c>
      <c r="BB32" s="6">
        <f t="shared" si="47"/>
        <v>0</v>
      </c>
      <c r="BC32" s="6">
        <f t="shared" si="48"/>
        <v>0</v>
      </c>
      <c r="BD32" s="6">
        <f t="shared" si="49"/>
        <v>0</v>
      </c>
      <c r="BE32" s="6">
        <f t="shared" si="50"/>
        <v>0</v>
      </c>
      <c r="BF32" s="6">
        <f t="shared" si="51"/>
        <v>0</v>
      </c>
      <c r="BG32" s="6">
        <f t="shared" si="52"/>
        <v>0</v>
      </c>
      <c r="BH32" s="6">
        <f t="shared" si="53"/>
        <v>0</v>
      </c>
      <c r="BI32" s="6">
        <f t="shared" si="54"/>
        <v>0</v>
      </c>
      <c r="BJ32" s="6">
        <f t="shared" si="55"/>
        <v>0</v>
      </c>
      <c r="BK32" s="6">
        <f t="shared" si="56"/>
        <v>0</v>
      </c>
      <c r="BL32" s="6">
        <f t="shared" si="57"/>
        <v>0</v>
      </c>
      <c r="BM32" s="3"/>
      <c r="BN32" s="3"/>
      <c r="BO32" s="3"/>
    </row>
    <row r="33" spans="1:67" x14ac:dyDescent="0.25">
      <c r="A33" s="3">
        <v>26</v>
      </c>
      <c r="B33" s="8" t="s">
        <v>119</v>
      </c>
      <c r="C33" s="9"/>
      <c r="D33" s="191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45"/>
      <c r="X33" s="45"/>
      <c r="Y33" s="45"/>
      <c r="Z33" s="45"/>
      <c r="AA33" s="9"/>
      <c r="AB33" s="105">
        <f t="shared" si="1"/>
        <v>0</v>
      </c>
      <c r="AC33" s="101">
        <f t="shared" si="2"/>
        <v>0</v>
      </c>
      <c r="AD33" s="101">
        <f t="shared" si="3"/>
        <v>0</v>
      </c>
      <c r="AE33" s="101">
        <f t="shared" si="4"/>
        <v>0</v>
      </c>
      <c r="AF33" s="101">
        <f t="shared" si="5"/>
        <v>0</v>
      </c>
      <c r="AG33" s="102" t="e">
        <f t="shared" si="6"/>
        <v>#DIV/0!</v>
      </c>
      <c r="AH33" s="6"/>
      <c r="AI33" s="6"/>
      <c r="AK33" s="195">
        <f t="shared" si="7"/>
        <v>0</v>
      </c>
      <c r="AN33" s="6">
        <f t="shared" si="33"/>
        <v>0</v>
      </c>
      <c r="AO33" s="6">
        <f t="shared" si="34"/>
        <v>0</v>
      </c>
      <c r="AP33" s="6">
        <f t="shared" si="35"/>
        <v>0</v>
      </c>
      <c r="AQ33" s="6">
        <f t="shared" si="36"/>
        <v>0</v>
      </c>
      <c r="AR33" s="6">
        <f t="shared" si="37"/>
        <v>0</v>
      </c>
      <c r="AS33" s="6">
        <f t="shared" si="38"/>
        <v>0</v>
      </c>
      <c r="AT33" s="6">
        <f t="shared" si="39"/>
        <v>0</v>
      </c>
      <c r="AU33" s="6">
        <f t="shared" si="40"/>
        <v>0</v>
      </c>
      <c r="AV33" s="6">
        <f t="shared" si="41"/>
        <v>0</v>
      </c>
      <c r="AW33" s="6">
        <f t="shared" si="42"/>
        <v>0</v>
      </c>
      <c r="AX33" s="6">
        <f t="shared" si="43"/>
        <v>0</v>
      </c>
      <c r="AY33" s="6">
        <f t="shared" si="44"/>
        <v>0</v>
      </c>
      <c r="AZ33" s="6">
        <f t="shared" si="45"/>
        <v>0</v>
      </c>
      <c r="BA33" s="6">
        <f t="shared" si="46"/>
        <v>0</v>
      </c>
      <c r="BB33" s="6">
        <f t="shared" si="47"/>
        <v>0</v>
      </c>
      <c r="BC33" s="6">
        <f t="shared" si="48"/>
        <v>0</v>
      </c>
      <c r="BD33" s="6">
        <f t="shared" si="49"/>
        <v>0</v>
      </c>
      <c r="BE33" s="6">
        <f t="shared" si="50"/>
        <v>0</v>
      </c>
      <c r="BF33" s="6">
        <f t="shared" si="51"/>
        <v>0</v>
      </c>
      <c r="BG33" s="6">
        <f t="shared" si="52"/>
        <v>0</v>
      </c>
      <c r="BH33" s="6">
        <f t="shared" si="53"/>
        <v>0</v>
      </c>
      <c r="BI33" s="6">
        <f t="shared" si="54"/>
        <v>0</v>
      </c>
      <c r="BJ33" s="6">
        <f t="shared" si="55"/>
        <v>0</v>
      </c>
      <c r="BK33" s="6">
        <f t="shared" si="56"/>
        <v>0</v>
      </c>
      <c r="BL33" s="6">
        <f t="shared" si="57"/>
        <v>0</v>
      </c>
      <c r="BM33" s="3"/>
      <c r="BN33" s="3"/>
      <c r="BO33" s="3"/>
    </row>
    <row r="34" spans="1:67" x14ac:dyDescent="0.25">
      <c r="A34" s="3">
        <v>27</v>
      </c>
      <c r="B34" s="8" t="s">
        <v>82</v>
      </c>
      <c r="C34" s="9"/>
      <c r="D34" s="191"/>
      <c r="E34" s="9"/>
      <c r="F34" s="159"/>
      <c r="G34" s="159"/>
      <c r="H34" s="9"/>
      <c r="I34" s="9"/>
      <c r="J34" s="9"/>
      <c r="K34" s="9"/>
      <c r="L34" s="9" t="s">
        <v>52</v>
      </c>
      <c r="M34" s="9"/>
      <c r="N34" s="9"/>
      <c r="O34" s="9"/>
      <c r="P34" s="160"/>
      <c r="Q34" s="9"/>
      <c r="R34" s="9" t="s">
        <v>52</v>
      </c>
      <c r="S34" s="9"/>
      <c r="T34" s="9"/>
      <c r="U34" s="159"/>
      <c r="V34" s="159" t="s">
        <v>52</v>
      </c>
      <c r="W34" s="45"/>
      <c r="X34" s="45"/>
      <c r="Y34" s="45"/>
      <c r="Z34" s="45"/>
      <c r="AA34" s="159"/>
      <c r="AB34" s="105">
        <f t="shared" si="1"/>
        <v>3</v>
      </c>
      <c r="AC34" s="101">
        <f t="shared" si="2"/>
        <v>0</v>
      </c>
      <c r="AD34" s="101">
        <f t="shared" si="3"/>
        <v>0</v>
      </c>
      <c r="AE34" s="101">
        <f t="shared" si="4"/>
        <v>0</v>
      </c>
      <c r="AF34" s="101">
        <f t="shared" si="5"/>
        <v>3</v>
      </c>
      <c r="AG34" s="102" t="e">
        <f t="shared" si="6"/>
        <v>#DIV/0!</v>
      </c>
      <c r="AH34" s="6"/>
      <c r="AI34" s="6"/>
      <c r="AK34" s="195">
        <f t="shared" si="7"/>
        <v>0</v>
      </c>
      <c r="AN34" s="6">
        <f t="shared" si="33"/>
        <v>0</v>
      </c>
      <c r="AO34" s="6">
        <f t="shared" si="34"/>
        <v>0</v>
      </c>
      <c r="AP34" s="6">
        <f t="shared" si="35"/>
        <v>0</v>
      </c>
      <c r="AQ34" s="6">
        <f t="shared" si="36"/>
        <v>0</v>
      </c>
      <c r="AR34" s="6">
        <f t="shared" si="37"/>
        <v>0</v>
      </c>
      <c r="AS34" s="6">
        <f t="shared" si="38"/>
        <v>0</v>
      </c>
      <c r="AT34" s="6">
        <f t="shared" si="39"/>
        <v>0</v>
      </c>
      <c r="AU34" s="6">
        <f t="shared" si="40"/>
        <v>0</v>
      </c>
      <c r="AV34" s="6">
        <f t="shared" si="41"/>
        <v>0</v>
      </c>
      <c r="AW34" s="6">
        <f t="shared" si="42"/>
        <v>0</v>
      </c>
      <c r="AX34" s="6">
        <f t="shared" si="43"/>
        <v>0</v>
      </c>
      <c r="AY34" s="6">
        <f t="shared" si="44"/>
        <v>0</v>
      </c>
      <c r="AZ34" s="6">
        <f t="shared" si="45"/>
        <v>0</v>
      </c>
      <c r="BA34" s="6">
        <f t="shared" si="46"/>
        <v>0</v>
      </c>
      <c r="BB34" s="6">
        <f t="shared" si="47"/>
        <v>0</v>
      </c>
      <c r="BC34" s="6">
        <f t="shared" si="48"/>
        <v>0</v>
      </c>
      <c r="BD34" s="6">
        <f t="shared" si="49"/>
        <v>0</v>
      </c>
      <c r="BE34" s="6">
        <f t="shared" si="50"/>
        <v>0</v>
      </c>
      <c r="BF34" s="6">
        <f t="shared" si="51"/>
        <v>0</v>
      </c>
      <c r="BG34" s="6">
        <f t="shared" si="52"/>
        <v>0</v>
      </c>
      <c r="BH34" s="6">
        <f t="shared" si="53"/>
        <v>0</v>
      </c>
      <c r="BI34" s="6">
        <f t="shared" si="54"/>
        <v>0</v>
      </c>
      <c r="BJ34" s="6">
        <f t="shared" si="55"/>
        <v>0</v>
      </c>
      <c r="BK34" s="6">
        <f t="shared" si="56"/>
        <v>0</v>
      </c>
      <c r="BL34" s="6">
        <f t="shared" si="57"/>
        <v>0</v>
      </c>
      <c r="BM34" s="207"/>
      <c r="BN34" s="207"/>
      <c r="BO34" s="3"/>
    </row>
    <row r="35" spans="1:67" x14ac:dyDescent="0.25">
      <c r="A35" s="3">
        <v>28</v>
      </c>
      <c r="B35" s="8" t="s">
        <v>129</v>
      </c>
      <c r="C35" s="9"/>
      <c r="D35" s="191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45"/>
      <c r="X35" s="45"/>
      <c r="Y35" s="45"/>
      <c r="Z35" s="45"/>
      <c r="AA35" s="9"/>
      <c r="AB35" s="105">
        <f t="shared" si="1"/>
        <v>0</v>
      </c>
      <c r="AC35" s="101">
        <f t="shared" si="2"/>
        <v>0</v>
      </c>
      <c r="AD35" s="101">
        <f t="shared" si="3"/>
        <v>0</v>
      </c>
      <c r="AE35" s="101">
        <f t="shared" si="4"/>
        <v>0</v>
      </c>
      <c r="AF35" s="101">
        <f t="shared" si="5"/>
        <v>0</v>
      </c>
      <c r="AG35" s="102" t="e">
        <f t="shared" si="6"/>
        <v>#DIV/0!</v>
      </c>
      <c r="AH35" s="6"/>
      <c r="AI35" s="6"/>
      <c r="AK35" s="195">
        <f t="shared" si="7"/>
        <v>0</v>
      </c>
      <c r="AN35" s="6">
        <f t="shared" si="33"/>
        <v>0</v>
      </c>
      <c r="AO35" s="6">
        <f t="shared" si="34"/>
        <v>0</v>
      </c>
      <c r="AP35" s="6">
        <f t="shared" si="35"/>
        <v>0</v>
      </c>
      <c r="AQ35" s="6">
        <f t="shared" si="36"/>
        <v>0</v>
      </c>
      <c r="AR35" s="6">
        <f t="shared" si="37"/>
        <v>0</v>
      </c>
      <c r="AS35" s="6">
        <f t="shared" si="38"/>
        <v>0</v>
      </c>
      <c r="AT35" s="6">
        <f t="shared" si="39"/>
        <v>0</v>
      </c>
      <c r="AU35" s="6">
        <f t="shared" si="40"/>
        <v>0</v>
      </c>
      <c r="AV35" s="6">
        <f t="shared" si="41"/>
        <v>0</v>
      </c>
      <c r="AW35" s="6">
        <f t="shared" si="42"/>
        <v>0</v>
      </c>
      <c r="AX35" s="6">
        <f t="shared" si="43"/>
        <v>0</v>
      </c>
      <c r="AY35" s="6">
        <f t="shared" si="44"/>
        <v>0</v>
      </c>
      <c r="AZ35" s="6">
        <f t="shared" si="45"/>
        <v>0</v>
      </c>
      <c r="BA35" s="6">
        <f t="shared" si="46"/>
        <v>0</v>
      </c>
      <c r="BB35" s="6">
        <f t="shared" si="47"/>
        <v>0</v>
      </c>
      <c r="BC35" s="6">
        <f t="shared" si="48"/>
        <v>0</v>
      </c>
      <c r="BD35" s="6">
        <f t="shared" si="49"/>
        <v>0</v>
      </c>
      <c r="BE35" s="6">
        <f t="shared" si="50"/>
        <v>0</v>
      </c>
      <c r="BF35" s="6">
        <f t="shared" si="51"/>
        <v>0</v>
      </c>
      <c r="BG35" s="6">
        <f t="shared" si="52"/>
        <v>0</v>
      </c>
      <c r="BH35" s="6">
        <f t="shared" si="53"/>
        <v>0</v>
      </c>
      <c r="BI35" s="6">
        <f t="shared" si="54"/>
        <v>0</v>
      </c>
      <c r="BJ35" s="6">
        <f t="shared" si="55"/>
        <v>0</v>
      </c>
      <c r="BK35" s="6">
        <f t="shared" si="56"/>
        <v>0</v>
      </c>
      <c r="BL35" s="6">
        <f t="shared" si="57"/>
        <v>0</v>
      </c>
      <c r="BM35" s="3"/>
      <c r="BN35" s="3"/>
      <c r="BO35" s="3"/>
    </row>
    <row r="36" spans="1:67" x14ac:dyDescent="0.25">
      <c r="A36" s="3"/>
      <c r="B36" s="7"/>
      <c r="C36" s="82">
        <f t="shared" ref="C36:X36" si="58">SUM(COUNTIF(C7:C35,"h"),COUNTIF(C7:C35,"w"),COUNTIF(C7:C35,"k"))</f>
        <v>11</v>
      </c>
      <c r="D36" s="82">
        <f t="shared" si="58"/>
        <v>11</v>
      </c>
      <c r="E36" s="82">
        <f t="shared" si="58"/>
        <v>11</v>
      </c>
      <c r="F36" s="82">
        <f t="shared" si="58"/>
        <v>11</v>
      </c>
      <c r="G36" s="82">
        <f t="shared" si="58"/>
        <v>7</v>
      </c>
      <c r="H36" s="82">
        <f t="shared" si="58"/>
        <v>11</v>
      </c>
      <c r="I36" s="82">
        <f t="shared" si="58"/>
        <v>8</v>
      </c>
      <c r="J36" s="82">
        <f t="shared" si="58"/>
        <v>8</v>
      </c>
      <c r="K36" s="82">
        <f t="shared" si="58"/>
        <v>11</v>
      </c>
      <c r="L36" s="82">
        <f t="shared" si="58"/>
        <v>10</v>
      </c>
      <c r="M36" s="82">
        <f t="shared" si="58"/>
        <v>10</v>
      </c>
      <c r="N36" s="82">
        <f t="shared" si="58"/>
        <v>8</v>
      </c>
      <c r="O36" s="82">
        <f t="shared" si="58"/>
        <v>11</v>
      </c>
      <c r="P36" s="82">
        <f t="shared" si="58"/>
        <v>9</v>
      </c>
      <c r="Q36" s="82">
        <f t="shared" si="58"/>
        <v>9</v>
      </c>
      <c r="R36" s="82">
        <f t="shared" si="58"/>
        <v>9</v>
      </c>
      <c r="S36" s="82">
        <f t="shared" si="58"/>
        <v>11</v>
      </c>
      <c r="T36" s="82">
        <f t="shared" si="58"/>
        <v>10</v>
      </c>
      <c r="U36" s="82">
        <f t="shared" si="58"/>
        <v>0</v>
      </c>
      <c r="V36" s="82">
        <f t="shared" si="58"/>
        <v>10</v>
      </c>
      <c r="W36" s="43">
        <f t="shared" si="58"/>
        <v>0</v>
      </c>
      <c r="X36" s="82">
        <f t="shared" si="58"/>
        <v>0</v>
      </c>
      <c r="Y36" s="82">
        <f>SUM(COUNTIF(Y7:Y35,"h"),COUNTIF(Y7:Y35,"w"),COUNTIF(Y7:Y35,"k"))</f>
        <v>0</v>
      </c>
      <c r="Z36" s="43">
        <f>SUM(COUNTIF(Z7:Z35,"h"),COUNTIF(Z7:Z35,"w"),COUNTIF(Z7:Z35,"k"))</f>
        <v>0</v>
      </c>
      <c r="AA36" s="82">
        <f>SUM(COUNTIF(AA7:AA35,"h"),COUNTIF(AA7:AA35,"w"),COUNTIF(AA7:AA35,"k"))</f>
        <v>0</v>
      </c>
      <c r="AB36" s="105">
        <f t="shared" si="1"/>
        <v>0</v>
      </c>
      <c r="AC36" s="101">
        <f t="shared" si="2"/>
        <v>0</v>
      </c>
      <c r="AD36" s="142"/>
      <c r="AF36" s="133"/>
      <c r="AG36" s="90"/>
      <c r="AH36" s="6"/>
      <c r="AI36" s="6"/>
      <c r="AK36" s="197"/>
    </row>
    <row r="37" spans="1:67" x14ac:dyDescent="0.25">
      <c r="A37" s="7"/>
      <c r="AC37" s="143"/>
      <c r="AD37" s="143"/>
      <c r="AF37" s="133"/>
      <c r="AG37" s="91"/>
      <c r="AH37" s="6"/>
      <c r="AI37" s="6"/>
      <c r="AK37" s="196"/>
    </row>
    <row r="38" spans="1:67" x14ac:dyDescent="0.25">
      <c r="A38" s="7"/>
      <c r="B38" s="7" t="s">
        <v>83</v>
      </c>
      <c r="C38" s="134" t="str">
        <f t="shared" ref="C38:AA38" si="59">IF(C36&gt;10,"ja","nee")</f>
        <v>ja</v>
      </c>
      <c r="D38" s="134" t="str">
        <f t="shared" si="59"/>
        <v>ja</v>
      </c>
      <c r="E38" s="134" t="str">
        <f t="shared" si="59"/>
        <v>ja</v>
      </c>
      <c r="F38" s="134" t="str">
        <f t="shared" si="59"/>
        <v>ja</v>
      </c>
      <c r="G38" s="134" t="str">
        <f t="shared" si="59"/>
        <v>nee</v>
      </c>
      <c r="H38" s="134" t="str">
        <f t="shared" si="59"/>
        <v>ja</v>
      </c>
      <c r="I38" s="134" t="str">
        <f t="shared" si="59"/>
        <v>nee</v>
      </c>
      <c r="J38" s="134" t="str">
        <f t="shared" si="59"/>
        <v>nee</v>
      </c>
      <c r="K38" s="134" t="str">
        <f t="shared" si="59"/>
        <v>ja</v>
      </c>
      <c r="L38" s="134" t="str">
        <f t="shared" si="59"/>
        <v>nee</v>
      </c>
      <c r="M38" s="134" t="str">
        <f t="shared" si="59"/>
        <v>nee</v>
      </c>
      <c r="N38" s="134" t="str">
        <f t="shared" si="59"/>
        <v>nee</v>
      </c>
      <c r="O38" s="134" t="str">
        <f t="shared" si="59"/>
        <v>ja</v>
      </c>
      <c r="P38" s="134" t="str">
        <f t="shared" si="59"/>
        <v>nee</v>
      </c>
      <c r="Q38" s="134" t="str">
        <f t="shared" si="59"/>
        <v>nee</v>
      </c>
      <c r="R38" s="134" t="str">
        <f t="shared" si="59"/>
        <v>nee</v>
      </c>
      <c r="S38" s="134" t="str">
        <f t="shared" si="59"/>
        <v>ja</v>
      </c>
      <c r="T38" s="134" t="str">
        <f t="shared" si="59"/>
        <v>nee</v>
      </c>
      <c r="U38" s="134" t="str">
        <f>IF(U36&gt;10,"ja","nee")</f>
        <v>nee</v>
      </c>
      <c r="V38" s="134" t="str">
        <f t="shared" si="59"/>
        <v>nee</v>
      </c>
      <c r="W38" s="134" t="str">
        <f t="shared" si="59"/>
        <v>nee</v>
      </c>
      <c r="X38" s="134"/>
      <c r="Y38" s="134" t="str">
        <f t="shared" si="59"/>
        <v>nee</v>
      </c>
      <c r="Z38" s="134" t="str">
        <f t="shared" si="59"/>
        <v>nee</v>
      </c>
      <c r="AA38" s="134" t="str">
        <f t="shared" si="59"/>
        <v>nee</v>
      </c>
      <c r="AB38" s="105">
        <f>SUM(AB7:AB35)</f>
        <v>213</v>
      </c>
      <c r="AC38" s="6"/>
      <c r="AD38" s="6"/>
      <c r="AF38" s="133"/>
      <c r="AG38" s="6"/>
      <c r="AH38" s="6"/>
      <c r="AI38" s="6"/>
      <c r="AJ38" s="65" t="s">
        <v>84</v>
      </c>
      <c r="AK38" s="195">
        <f>SUM(AK7:AK35)</f>
        <v>186</v>
      </c>
    </row>
    <row r="39" spans="1:67" x14ac:dyDescent="0.25">
      <c r="A39" s="7"/>
      <c r="B39" s="7"/>
      <c r="C39" s="7"/>
      <c r="D39" s="7"/>
      <c r="E39" s="19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7"/>
      <c r="V39" s="6"/>
      <c r="W39" s="6"/>
      <c r="X39" s="6"/>
      <c r="Y39" s="6"/>
      <c r="Z39" s="6"/>
      <c r="AA39" s="6"/>
      <c r="AB39" s="6"/>
    </row>
    <row r="40" spans="1:67" x14ac:dyDescent="0.25">
      <c r="A40" s="7"/>
      <c r="B40" s="7"/>
      <c r="C40" s="7"/>
      <c r="D40" s="7"/>
      <c r="E40" s="19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7"/>
      <c r="V40" s="6"/>
      <c r="W40" s="6"/>
      <c r="X40" s="6"/>
      <c r="Y40" s="6"/>
      <c r="Z40" s="6"/>
      <c r="AA40" s="6"/>
      <c r="AB40" s="6"/>
    </row>
    <row r="41" spans="1:67" x14ac:dyDescent="0.25">
      <c r="A41" s="7"/>
      <c r="C41" s="7"/>
      <c r="D41" s="7"/>
      <c r="E41" s="93" t="s">
        <v>85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7"/>
      <c r="V41" s="6"/>
      <c r="W41" s="6"/>
      <c r="X41" s="6"/>
      <c r="Y41" s="6"/>
      <c r="Z41" s="6"/>
      <c r="AA41" s="6"/>
      <c r="AB41" s="6"/>
    </row>
    <row r="42" spans="1:67" x14ac:dyDescent="0.25">
      <c r="A42" s="7"/>
      <c r="B42" s="19"/>
      <c r="C42" s="7"/>
      <c r="D42" s="7"/>
      <c r="E42" s="94" t="s">
        <v>86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7"/>
      <c r="V42" s="6"/>
      <c r="W42" s="6"/>
      <c r="X42" s="6"/>
      <c r="Y42" s="6"/>
      <c r="Z42" s="6"/>
      <c r="AA42" s="6"/>
      <c r="AB42" s="6"/>
    </row>
    <row r="43" spans="1:67" x14ac:dyDescent="0.25">
      <c r="A43" s="7"/>
      <c r="B43" s="172" t="s">
        <v>87</v>
      </c>
      <c r="C43" s="20">
        <v>11</v>
      </c>
      <c r="D43" s="7"/>
      <c r="F43" s="6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7"/>
      <c r="V43" s="6"/>
      <c r="W43" s="6"/>
      <c r="X43" s="6"/>
      <c r="Y43" s="6"/>
      <c r="Z43" s="6"/>
      <c r="AA43" s="6"/>
      <c r="AB43" s="6"/>
    </row>
    <row r="44" spans="1:67" x14ac:dyDescent="0.25">
      <c r="B44" s="22" t="s">
        <v>88</v>
      </c>
      <c r="C44" s="20">
        <v>4</v>
      </c>
      <c r="D44" s="7"/>
      <c r="E44" s="208" t="s">
        <v>89</v>
      </c>
      <c r="F44" s="141" t="s">
        <v>48</v>
      </c>
    </row>
    <row r="45" spans="1:67" x14ac:dyDescent="0.25">
      <c r="B45" s="15" t="s">
        <v>90</v>
      </c>
      <c r="C45" s="23">
        <v>4</v>
      </c>
      <c r="D45" s="7"/>
      <c r="E45" s="140" t="s">
        <v>30</v>
      </c>
      <c r="F45" s="139" t="s">
        <v>74</v>
      </c>
    </row>
    <row r="46" spans="1:67" x14ac:dyDescent="0.25">
      <c r="B46" s="210" t="s">
        <v>91</v>
      </c>
      <c r="C46" s="211">
        <v>1</v>
      </c>
      <c r="D46" s="7"/>
      <c r="E46" s="96" t="s">
        <v>92</v>
      </c>
      <c r="F46" s="138" t="s">
        <v>50</v>
      </c>
    </row>
    <row r="47" spans="1:67" x14ac:dyDescent="0.25">
      <c r="B47" s="7"/>
      <c r="C47" s="209">
        <f>SUM(C43:C46)</f>
        <v>20</v>
      </c>
      <c r="D47" s="7"/>
      <c r="E47" s="97" t="s">
        <v>93</v>
      </c>
      <c r="F47" s="12">
        <v>1</v>
      </c>
    </row>
    <row r="48" spans="1:67" x14ac:dyDescent="0.25">
      <c r="B48" s="7"/>
      <c r="C48" s="7"/>
      <c r="D48" s="7"/>
      <c r="E48" s="137" t="s">
        <v>32</v>
      </c>
      <c r="F48" s="136" t="s">
        <v>52</v>
      </c>
    </row>
    <row r="49" spans="5:6" x14ac:dyDescent="0.25">
      <c r="E49" s="99" t="s">
        <v>94</v>
      </c>
      <c r="F49" s="135">
        <v>1</v>
      </c>
    </row>
    <row r="50" spans="5:6" x14ac:dyDescent="0.25">
      <c r="E50" s="65"/>
      <c r="F50" s="3"/>
    </row>
    <row r="51" spans="5:6" x14ac:dyDescent="0.25">
      <c r="E51" s="129" t="s">
        <v>87</v>
      </c>
      <c r="F51" s="6"/>
    </row>
    <row r="52" spans="5:6" x14ac:dyDescent="0.25">
      <c r="E52" s="130" t="s">
        <v>88</v>
      </c>
      <c r="F52" s="6"/>
    </row>
    <row r="53" spans="5:6" x14ac:dyDescent="0.25">
      <c r="E53" s="131" t="s">
        <v>95</v>
      </c>
      <c r="F53" s="6"/>
    </row>
    <row r="54" spans="5:6" x14ac:dyDescent="0.25">
      <c r="E54" s="132" t="s">
        <v>91</v>
      </c>
      <c r="F54" s="6"/>
    </row>
  </sheetData>
  <sortState xmlns:xlrd2="http://schemas.microsoft.com/office/spreadsheetml/2017/richdata2" ref="B7:BO27">
    <sortCondition ref="AG7:AG27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7C85-4E6C-4FA3-BEE9-E1136274FB54}">
  <dimension ref="A1:BO58"/>
  <sheetViews>
    <sheetView topLeftCell="B1" zoomScale="70" zoomScaleNormal="70" workbookViewId="0">
      <selection activeCell="C7" sqref="C7:AA38"/>
    </sheetView>
  </sheetViews>
  <sheetFormatPr defaultColWidth="9.109375" defaultRowHeight="13.2" x14ac:dyDescent="0.25"/>
  <cols>
    <col min="2" max="2" width="22.5546875" customWidth="1"/>
    <col min="3" max="65" width="7.6640625" customWidth="1"/>
  </cols>
  <sheetData>
    <row r="1" spans="1:67" x14ac:dyDescent="0.25">
      <c r="C1" t="s">
        <v>296</v>
      </c>
      <c r="D1" t="s">
        <v>298</v>
      </c>
      <c r="E1" t="s">
        <v>50</v>
      </c>
      <c r="F1" t="s">
        <v>50</v>
      </c>
      <c r="G1" t="s">
        <v>296</v>
      </c>
      <c r="H1" t="s">
        <v>297</v>
      </c>
      <c r="I1" t="s">
        <v>50</v>
      </c>
      <c r="J1" t="s">
        <v>296</v>
      </c>
      <c r="K1" t="s">
        <v>296</v>
      </c>
      <c r="L1" t="s">
        <v>50</v>
      </c>
      <c r="M1" t="s">
        <v>50</v>
      </c>
      <c r="N1" t="s">
        <v>296</v>
      </c>
      <c r="O1" t="s">
        <v>50</v>
      </c>
      <c r="P1" t="s">
        <v>297</v>
      </c>
      <c r="Q1" t="s">
        <v>296</v>
      </c>
      <c r="R1" t="s">
        <v>50</v>
      </c>
      <c r="S1" t="s">
        <v>296</v>
      </c>
      <c r="T1" t="s">
        <v>50</v>
      </c>
      <c r="U1" t="s">
        <v>50</v>
      </c>
      <c r="V1" t="s">
        <v>297</v>
      </c>
      <c r="W1" t="s">
        <v>296</v>
      </c>
      <c r="X1" t="s">
        <v>50</v>
      </c>
      <c r="Y1" t="s">
        <v>297</v>
      </c>
      <c r="Z1" t="s">
        <v>296</v>
      </c>
    </row>
    <row r="2" spans="1:67" x14ac:dyDescent="0.25">
      <c r="C2" t="s">
        <v>52</v>
      </c>
      <c r="D2" t="s">
        <v>295</v>
      </c>
      <c r="E2" t="s">
        <v>52</v>
      </c>
      <c r="F2" t="s">
        <v>295</v>
      </c>
      <c r="G2" t="s">
        <v>52</v>
      </c>
      <c r="H2" t="s">
        <v>295</v>
      </c>
      <c r="I2" t="s">
        <v>52</v>
      </c>
      <c r="J2" t="s">
        <v>295</v>
      </c>
      <c r="K2" t="s">
        <v>52</v>
      </c>
      <c r="L2" t="s">
        <v>295</v>
      </c>
      <c r="M2" t="s">
        <v>52</v>
      </c>
      <c r="N2" t="s">
        <v>295</v>
      </c>
      <c r="O2" t="s">
        <v>295</v>
      </c>
      <c r="P2" t="s">
        <v>295</v>
      </c>
      <c r="Q2" t="s">
        <v>295</v>
      </c>
      <c r="R2" t="s">
        <v>52</v>
      </c>
      <c r="S2" t="s">
        <v>52</v>
      </c>
      <c r="T2" t="s">
        <v>52</v>
      </c>
      <c r="U2" t="s">
        <v>52</v>
      </c>
      <c r="V2" t="s">
        <v>295</v>
      </c>
      <c r="W2" t="s">
        <v>295</v>
      </c>
      <c r="X2" t="s">
        <v>295</v>
      </c>
      <c r="Y2" t="s">
        <v>295</v>
      </c>
      <c r="Z2" t="s">
        <v>295</v>
      </c>
    </row>
    <row r="3" spans="1:67" ht="48" customHeight="1" x14ac:dyDescent="0.25">
      <c r="A3" s="3"/>
      <c r="B3" s="4"/>
      <c r="C3" s="58" t="s">
        <v>285</v>
      </c>
      <c r="D3" s="63" t="s">
        <v>6</v>
      </c>
      <c r="E3" s="62" t="s">
        <v>5</v>
      </c>
      <c r="F3" s="62" t="s">
        <v>196</v>
      </c>
      <c r="G3" s="58" t="s">
        <v>155</v>
      </c>
      <c r="H3" s="73" t="s">
        <v>13</v>
      </c>
      <c r="I3" s="62" t="s">
        <v>159</v>
      </c>
      <c r="J3" s="58" t="s">
        <v>9</v>
      </c>
      <c r="K3" s="58" t="s">
        <v>158</v>
      </c>
      <c r="L3" s="62" t="s">
        <v>196</v>
      </c>
      <c r="M3" s="62" t="s">
        <v>7</v>
      </c>
      <c r="N3" s="254" t="s">
        <v>219</v>
      </c>
      <c r="O3" s="154" t="s">
        <v>286</v>
      </c>
      <c r="P3" s="73" t="s">
        <v>1</v>
      </c>
      <c r="Q3" s="58" t="s">
        <v>9</v>
      </c>
      <c r="R3" s="62" t="s">
        <v>7</v>
      </c>
      <c r="S3" s="58" t="s">
        <v>287</v>
      </c>
      <c r="T3" s="154" t="s">
        <v>198</v>
      </c>
      <c r="U3" s="62" t="s">
        <v>219</v>
      </c>
      <c r="V3" s="73" t="s">
        <v>1</v>
      </c>
      <c r="W3" s="58" t="s">
        <v>263</v>
      </c>
      <c r="X3" s="62" t="s">
        <v>155</v>
      </c>
      <c r="Y3" s="73" t="s">
        <v>288</v>
      </c>
      <c r="Z3" s="58" t="s">
        <v>289</v>
      </c>
      <c r="AA3" s="147"/>
      <c r="AB3" s="5"/>
      <c r="AC3" s="6"/>
      <c r="AD3" s="6"/>
      <c r="AE3" s="6"/>
      <c r="AF3" s="6"/>
      <c r="AG3" s="6"/>
      <c r="AH3" s="6"/>
      <c r="AI3" s="6"/>
      <c r="AJ3" s="6"/>
    </row>
    <row r="4" spans="1:67" ht="103.2" x14ac:dyDescent="0.25">
      <c r="A4" s="3"/>
      <c r="B4" s="7"/>
      <c r="C4" s="80" t="s">
        <v>290</v>
      </c>
      <c r="D4" s="79" t="s">
        <v>291</v>
      </c>
      <c r="E4" s="80" t="s">
        <v>292</v>
      </c>
      <c r="F4" s="79" t="s">
        <v>255</v>
      </c>
      <c r="G4" s="80" t="s">
        <v>23</v>
      </c>
      <c r="H4" s="79" t="s">
        <v>20</v>
      </c>
      <c r="I4" s="80" t="s">
        <v>15</v>
      </c>
      <c r="J4" s="79" t="s">
        <v>21</v>
      </c>
      <c r="K4" s="80" t="s">
        <v>20</v>
      </c>
      <c r="L4" s="79" t="s">
        <v>17</v>
      </c>
      <c r="M4" s="80" t="s">
        <v>246</v>
      </c>
      <c r="N4" s="79" t="s">
        <v>290</v>
      </c>
      <c r="O4" s="79" t="s">
        <v>292</v>
      </c>
      <c r="P4" s="79" t="s">
        <v>23</v>
      </c>
      <c r="Q4" s="79" t="s">
        <v>15</v>
      </c>
      <c r="R4" s="80" t="s">
        <v>21</v>
      </c>
      <c r="S4" s="80" t="s">
        <v>17</v>
      </c>
      <c r="T4" s="80" t="s">
        <v>291</v>
      </c>
      <c r="U4" s="80" t="s">
        <v>255</v>
      </c>
      <c r="V4" s="79" t="s">
        <v>246</v>
      </c>
      <c r="W4" s="79" t="s">
        <v>202</v>
      </c>
      <c r="X4" s="79" t="s">
        <v>293</v>
      </c>
      <c r="Y4" s="79" t="s">
        <v>202</v>
      </c>
      <c r="Z4" s="79" t="s">
        <v>294</v>
      </c>
      <c r="AA4" s="79"/>
      <c r="AC4" s="100" t="s">
        <v>29</v>
      </c>
      <c r="AD4" s="100" t="s">
        <v>30</v>
      </c>
      <c r="AE4" s="100" t="s">
        <v>31</v>
      </c>
      <c r="AF4" s="100" t="s">
        <v>32</v>
      </c>
      <c r="AG4" s="100" t="s">
        <v>33</v>
      </c>
      <c r="AK4" s="100" t="s">
        <v>34</v>
      </c>
      <c r="AN4" s="80" t="str">
        <f t="shared" ref="AN4:AY4" si="0">C4</f>
        <v>Peuchemise</v>
      </c>
      <c r="AO4" s="79" t="str">
        <f t="shared" si="0"/>
        <v>Bar Salon</v>
      </c>
      <c r="AP4" s="80" t="str">
        <f t="shared" si="0"/>
        <v>Benne 1980 B</v>
      </c>
      <c r="AQ4" s="79" t="str">
        <f t="shared" si="0"/>
        <v>Antwerp Boys</v>
      </c>
      <c r="AR4" s="80" t="str">
        <f t="shared" si="0"/>
        <v>Kloosterstraat</v>
      </c>
      <c r="AS4" s="79" t="str">
        <f t="shared" si="0"/>
        <v>Katastroof</v>
      </c>
      <c r="AT4" s="80" t="str">
        <f t="shared" si="0"/>
        <v>Bacchus</v>
      </c>
      <c r="AU4" s="79" t="str">
        <f t="shared" si="0"/>
        <v>Sporting Olympia</v>
      </c>
      <c r="AV4" s="80" t="str">
        <f t="shared" si="0"/>
        <v>Katastroof</v>
      </c>
      <c r="AW4" s="79" t="str">
        <f t="shared" si="0"/>
        <v>Amber G</v>
      </c>
      <c r="AX4" s="80" t="str">
        <f t="shared" si="0"/>
        <v>Panda</v>
      </c>
      <c r="AY4" s="79" t="str">
        <f t="shared" si="0"/>
        <v>Peuchemise</v>
      </c>
      <c r="AZ4" s="80" t="str">
        <f>T4</f>
        <v>Bar Salon</v>
      </c>
      <c r="BA4" s="79" t="str">
        <f>O4</f>
        <v>Benne 1980 B</v>
      </c>
      <c r="BB4" s="80" t="str">
        <f>U4</f>
        <v>Antwerp Boys</v>
      </c>
      <c r="BC4" s="79" t="str">
        <f>P4</f>
        <v>Kloosterstraat</v>
      </c>
      <c r="BD4" s="79" t="str">
        <f>Q4</f>
        <v>Bacchus</v>
      </c>
      <c r="BE4" s="80" t="str">
        <f>R4</f>
        <v>Sporting Olympia</v>
      </c>
      <c r="BF4" s="80" t="str">
        <f>S4</f>
        <v>Amber G</v>
      </c>
      <c r="BG4" s="79" t="str">
        <f t="shared" ref="BG4" si="1">V4</f>
        <v>Panda</v>
      </c>
      <c r="BH4" s="79" t="s">
        <v>35</v>
      </c>
      <c r="BI4" s="79" t="s">
        <v>35</v>
      </c>
      <c r="BJ4" s="79" t="s">
        <v>36</v>
      </c>
      <c r="BK4" s="79" t="s">
        <v>37</v>
      </c>
      <c r="BL4" s="79" t="s">
        <v>38</v>
      </c>
    </row>
    <row r="5" spans="1:67" ht="51.6" customHeight="1" x14ac:dyDescent="0.25">
      <c r="A5" s="3"/>
      <c r="B5" s="46" t="s">
        <v>39</v>
      </c>
      <c r="C5" s="75">
        <v>45535</v>
      </c>
      <c r="D5" s="76">
        <v>45542</v>
      </c>
      <c r="E5" s="75">
        <v>45549</v>
      </c>
      <c r="F5" s="76">
        <v>45556</v>
      </c>
      <c r="G5" s="75">
        <v>45563</v>
      </c>
      <c r="H5" s="76">
        <v>45570</v>
      </c>
      <c r="I5" s="75">
        <v>45577</v>
      </c>
      <c r="J5" s="76">
        <v>45584</v>
      </c>
      <c r="K5" s="75">
        <v>45605</v>
      </c>
      <c r="L5" s="76">
        <v>45612</v>
      </c>
      <c r="M5" s="75">
        <v>45619</v>
      </c>
      <c r="N5" s="76">
        <v>45626</v>
      </c>
      <c r="O5" s="76">
        <v>45640</v>
      </c>
      <c r="P5" s="75">
        <v>45675</v>
      </c>
      <c r="Q5" s="76">
        <v>45689</v>
      </c>
      <c r="R5" s="76">
        <v>45696</v>
      </c>
      <c r="S5" s="76">
        <v>45710</v>
      </c>
      <c r="T5" s="75">
        <v>45717</v>
      </c>
      <c r="U5" s="75">
        <v>45724</v>
      </c>
      <c r="V5" s="75">
        <v>45731</v>
      </c>
      <c r="W5" s="76"/>
      <c r="X5" s="76"/>
      <c r="Y5" s="76"/>
      <c r="Z5" s="76"/>
      <c r="AA5" s="76"/>
      <c r="AB5" s="5"/>
      <c r="AC5" s="6"/>
      <c r="AD5" s="6"/>
      <c r="AE5" s="6"/>
      <c r="AF5" s="6"/>
      <c r="AG5" s="6"/>
      <c r="AH5" s="6"/>
      <c r="AI5" s="6"/>
      <c r="AN5" s="6"/>
    </row>
    <row r="6" spans="1:67" ht="36" customHeight="1" x14ac:dyDescent="0.25">
      <c r="A6" s="3"/>
      <c r="B6" s="156"/>
      <c r="C6" s="157" t="s">
        <v>40</v>
      </c>
      <c r="D6" s="157" t="s">
        <v>42</v>
      </c>
      <c r="E6" s="157" t="s">
        <v>40</v>
      </c>
      <c r="F6" s="158" t="s">
        <v>239</v>
      </c>
      <c r="G6" s="157" t="s">
        <v>40</v>
      </c>
      <c r="H6" s="158" t="s">
        <v>42</v>
      </c>
      <c r="I6" s="157" t="s">
        <v>40</v>
      </c>
      <c r="J6" s="158" t="s">
        <v>42</v>
      </c>
      <c r="K6" s="157" t="s">
        <v>40</v>
      </c>
      <c r="L6" s="158" t="s">
        <v>42</v>
      </c>
      <c r="M6" s="157" t="s">
        <v>40</v>
      </c>
      <c r="N6" s="158" t="s">
        <v>42</v>
      </c>
      <c r="O6" s="158" t="s">
        <v>45</v>
      </c>
      <c r="P6" s="158" t="s">
        <v>45</v>
      </c>
      <c r="Q6" s="158" t="s">
        <v>42</v>
      </c>
      <c r="R6" s="157" t="s">
        <v>40</v>
      </c>
      <c r="S6" s="157" t="s">
        <v>40</v>
      </c>
      <c r="T6" s="157" t="s">
        <v>40</v>
      </c>
      <c r="U6" s="157" t="s">
        <v>40</v>
      </c>
      <c r="V6" s="157" t="s">
        <v>239</v>
      </c>
      <c r="W6" s="76"/>
      <c r="X6" s="76"/>
      <c r="Y6" s="76"/>
      <c r="Z6" s="76"/>
      <c r="AA6" s="76"/>
      <c r="AB6" s="5"/>
      <c r="AC6" s="6"/>
      <c r="AD6" s="6"/>
      <c r="AE6" s="6"/>
      <c r="AF6" s="6"/>
      <c r="AG6" s="6"/>
      <c r="AH6" s="6"/>
      <c r="AI6" s="6"/>
      <c r="AN6" s="6"/>
    </row>
    <row r="7" spans="1:67" x14ac:dyDescent="0.25">
      <c r="A7" s="3">
        <v>1</v>
      </c>
      <c r="B7" s="8" t="s">
        <v>58</v>
      </c>
      <c r="C7" s="9"/>
      <c r="D7" s="191"/>
      <c r="E7" s="9"/>
      <c r="F7" s="9" t="s">
        <v>48</v>
      </c>
      <c r="G7" s="9" t="s">
        <v>299</v>
      </c>
      <c r="H7" s="9" t="s">
        <v>48</v>
      </c>
      <c r="I7" s="9" t="s">
        <v>48</v>
      </c>
      <c r="J7" s="9"/>
      <c r="K7" s="9"/>
      <c r="L7" s="9" t="s">
        <v>299</v>
      </c>
      <c r="M7" s="9"/>
      <c r="N7" s="9"/>
      <c r="O7" s="9" t="s">
        <v>48</v>
      </c>
      <c r="P7" s="9"/>
      <c r="Q7" s="9"/>
      <c r="R7" s="9" t="s">
        <v>48</v>
      </c>
      <c r="S7" s="9"/>
      <c r="T7" s="9" t="s">
        <v>52</v>
      </c>
      <c r="U7" s="9" t="s">
        <v>52</v>
      </c>
      <c r="V7" s="9" t="s">
        <v>74</v>
      </c>
      <c r="W7" s="45" t="s">
        <v>48</v>
      </c>
      <c r="X7" s="45"/>
      <c r="Y7" s="45" t="s">
        <v>52</v>
      </c>
      <c r="Z7" s="45" t="s">
        <v>48</v>
      </c>
      <c r="AA7" s="45"/>
      <c r="AB7" s="105">
        <f t="shared" ref="AB7:AB40" si="2">SUM(COUNTIF(C7:AA7,"h"),COUNTIF(C7:AA7,"w"),COUNTIF(C7:AA7,"k"),COUNTIF(C7:AA7,"t"))</f>
        <v>11</v>
      </c>
      <c r="AC7" s="101">
        <f t="shared" ref="AC7:AC40" si="3">COUNTIF(C7:AA7,"w")</f>
        <v>0</v>
      </c>
      <c r="AD7" s="101">
        <f t="shared" ref="AD7:AD39" si="4">COUNTIF(C7:AA7,"k")</f>
        <v>1</v>
      </c>
      <c r="AE7" s="101">
        <f t="shared" ref="AE7:AE39" si="5">BM7</f>
        <v>-5</v>
      </c>
      <c r="AF7" s="101">
        <f t="shared" ref="AF7:AF39" si="6">COUNTIF(C7:AA7,"t")</f>
        <v>3</v>
      </c>
      <c r="AG7" s="102">
        <f t="shared" ref="AG7:AG39" si="7">(AC7/(AB7+AE7-AF7-AD7))*100</f>
        <v>0</v>
      </c>
      <c r="AK7" s="195">
        <f t="shared" ref="AK7:AK39" si="8">AB7-AF7</f>
        <v>8</v>
      </c>
      <c r="AN7" s="6">
        <f t="shared" ref="AN7:AN39" si="9">IF(C$42="ja",0,IF(C7="h",-1,IF(C7="k",0,IF(C7="w",-1,0))))</f>
        <v>0</v>
      </c>
      <c r="AO7" s="6">
        <f t="shared" ref="AO7:AO39" si="10">IF(D$42="ja",0,IF(D7="h",-1,IF(D7="k",0,IF(D7="w",-1,0))))</f>
        <v>0</v>
      </c>
      <c r="AP7" s="6">
        <f t="shared" ref="AP7:AP39" si="11">IF(E$42="ja",0,IF(E7="h",-1,IF(E7="k",0,IF(E7="w",-1,0))))</f>
        <v>0</v>
      </c>
      <c r="AQ7" s="6">
        <f t="shared" ref="AQ7:AQ39" si="12">IF(F$42="ja",0,IF(F7="h",-1,IF(F7="k",0,IF(F7="w",-1,0))))</f>
        <v>-1</v>
      </c>
      <c r="AR7" s="6">
        <f t="shared" ref="AR7:AR39" si="13">IF(G$42="ja",0,IF(G7="h",-1,IF(G7="k",0,IF(G7="w",-1,0))))</f>
        <v>0</v>
      </c>
      <c r="AS7" s="6">
        <f t="shared" ref="AS7:AS39" si="14">IF(H$42="ja",0,IF(H7="h",-1,IF(H7="k",0,IF(H7="w",-1,0))))</f>
        <v>0</v>
      </c>
      <c r="AT7" s="6">
        <f t="shared" ref="AT7:AT39" si="15">IF(I$42="ja",0,IF(I7="h",-1,IF(I7="k",0,IF(I7="w",-1,0))))</f>
        <v>-1</v>
      </c>
      <c r="AU7" s="6">
        <f t="shared" ref="AU7:AU39" si="16">IF(J$42="ja",0,IF(J7="h",-1,IF(J7="k",0,IF(J7="w",-1,0))))</f>
        <v>0</v>
      </c>
      <c r="AV7" s="6">
        <f t="shared" ref="AV7:AV39" si="17">IF(K$42="ja",0,IF(K7="h",-1,IF(K7="k",0,IF(K7="w",-1,0))))</f>
        <v>0</v>
      </c>
      <c r="AW7" s="6">
        <f t="shared" ref="AW7:AW39" si="18">IF(L$42="ja",0,IF(L7="h",-1,IF(L7="k",0,IF(L7="w",-1,0))))</f>
        <v>0</v>
      </c>
      <c r="AX7" s="6">
        <f t="shared" ref="AX7:AX39" si="19">IF(M$42="ja",0,IF(M7="h",-1,IF(M7="k",0,IF(M7="w",-1,0))))</f>
        <v>0</v>
      </c>
      <c r="AY7" s="6">
        <f t="shared" ref="AY7:AY39" si="20">IF(N$42="ja",0,IF(N7="h",-1,IF(N7="k",0,IF(N7="w",-1,0))))</f>
        <v>0</v>
      </c>
      <c r="AZ7" s="6">
        <f t="shared" ref="AZ7:AZ39" si="21">IF(T$42="ja",0,IF(T7="h",-1,IF(T7="k",0,IF(T7="w",-1,0))))</f>
        <v>0</v>
      </c>
      <c r="BA7" s="6">
        <f t="shared" ref="BA7:BA39" si="22">IF(O$42="ja",0,IF(O7="h",-1,IF(O7="k",0,IF(O7="w",-1,0))))</f>
        <v>-1</v>
      </c>
      <c r="BB7" s="6">
        <f t="shared" ref="BB7:BB39" si="23">IF(U$42="ja",0,IF(U7="h",-1,IF(U7="k",0,IF(U7="w",-1,0))))</f>
        <v>0</v>
      </c>
      <c r="BC7" s="6">
        <f t="shared" ref="BC7:BC36" si="24">IF(P$42="ja",0,IF(P7="h",-1,IF(P7="k",0,IF(P7="w",-1,0))))</f>
        <v>0</v>
      </c>
      <c r="BD7" s="6">
        <f t="shared" ref="BD7:BD36" si="25">IF(Q$42="ja",0,IF(Q7="h",-1,IF(Q7="k",0,IF(Q7="w",-1,0))))</f>
        <v>0</v>
      </c>
      <c r="BE7" s="6">
        <f t="shared" ref="BE7:BE36" si="26">IF(R$42="ja",0,IF(R7="h",-1,IF(R7="k",0,IF(R7="w",-1,0))))</f>
        <v>-1</v>
      </c>
      <c r="BF7" s="6">
        <f t="shared" ref="BF7:BF36" si="27">IF(S$42="ja",0,IF(S7="h",-1,IF(S7="k",0,IF(S7="w",-1,0))))</f>
        <v>0</v>
      </c>
      <c r="BG7" s="6">
        <f t="shared" ref="BG7:BG39" si="28">IF(V$42="ja",0,IF(V7="h",-1,IF(V7="k",0,IF(V7="w",-1,0))))</f>
        <v>0</v>
      </c>
      <c r="BH7" s="6">
        <f t="shared" ref="BH7:BH39" si="29">IF(W$42="ja",0,IF(W7="h",-1,IF(W7="k",0,IF(W7="w",-1,0))))</f>
        <v>-1</v>
      </c>
      <c r="BI7" s="6">
        <f t="shared" ref="BI7:BI39" si="30">IF(X$42="ja",0,IF(X7="h",-1,IF(X7="k",0,IF(X7="w",-1,0))))</f>
        <v>0</v>
      </c>
      <c r="BJ7" s="6">
        <f t="shared" ref="BJ7:BJ39" si="31">IF(Y$42="ja",0,IF(Y7="h",-1,IF(Y7="k",0,IF(Y7="w",-1,0))))</f>
        <v>0</v>
      </c>
      <c r="BK7" s="6">
        <f t="shared" ref="BK7:BK39" si="32">IF(Z$42="ja",0,IF(Z7="h",-1,IF(Z7="k",0,IF(Z7="w",-1,0))))</f>
        <v>0</v>
      </c>
      <c r="BL7" s="6">
        <f t="shared" ref="BL7:BL39" si="33">IF(AA$42="ja",0,IF(AA7="h",-1,IF(AA7="k",0,IF(AA7="w",-1,0))))</f>
        <v>0</v>
      </c>
      <c r="BM7" s="3">
        <f t="shared" ref="BM7:BM27" si="34">SUM(AN7:BL7)</f>
        <v>-5</v>
      </c>
      <c r="BN7" s="3"/>
      <c r="BO7" s="3"/>
    </row>
    <row r="8" spans="1:67" x14ac:dyDescent="0.25">
      <c r="A8" s="3">
        <v>2</v>
      </c>
      <c r="B8" s="8" t="s">
        <v>56</v>
      </c>
      <c r="C8" s="9"/>
      <c r="D8" s="191"/>
      <c r="E8" s="9"/>
      <c r="F8" s="9"/>
      <c r="G8" s="9" t="s">
        <v>48</v>
      </c>
      <c r="H8" s="9"/>
      <c r="I8" s="9"/>
      <c r="J8" s="9" t="s">
        <v>299</v>
      </c>
      <c r="K8" s="9" t="s">
        <v>299</v>
      </c>
      <c r="L8" s="9"/>
      <c r="M8" s="9" t="s">
        <v>48</v>
      </c>
      <c r="N8" s="9" t="s">
        <v>48</v>
      </c>
      <c r="O8" s="9" t="s">
        <v>48</v>
      </c>
      <c r="P8" s="9" t="s">
        <v>299</v>
      </c>
      <c r="Q8" s="9" t="s">
        <v>48</v>
      </c>
      <c r="R8" s="9" t="s">
        <v>48</v>
      </c>
      <c r="S8" s="9" t="s">
        <v>48</v>
      </c>
      <c r="T8" s="9" t="s">
        <v>48</v>
      </c>
      <c r="U8" s="9"/>
      <c r="V8" s="9" t="s">
        <v>48</v>
      </c>
      <c r="W8" s="45"/>
      <c r="X8" s="45" t="s">
        <v>48</v>
      </c>
      <c r="Y8" s="45"/>
      <c r="Z8" s="45" t="s">
        <v>48</v>
      </c>
      <c r="AA8" s="9"/>
      <c r="AB8" s="105">
        <f t="shared" si="2"/>
        <v>11</v>
      </c>
      <c r="AC8" s="101">
        <f t="shared" si="3"/>
        <v>0</v>
      </c>
      <c r="AD8" s="101">
        <f t="shared" si="4"/>
        <v>0</v>
      </c>
      <c r="AE8" s="101">
        <f t="shared" si="5"/>
        <v>-10</v>
      </c>
      <c r="AF8" s="101">
        <f t="shared" si="6"/>
        <v>0</v>
      </c>
      <c r="AG8" s="102">
        <f t="shared" si="7"/>
        <v>0</v>
      </c>
      <c r="AH8" s="6"/>
      <c r="AI8" s="6"/>
      <c r="AK8" s="195">
        <f t="shared" si="8"/>
        <v>11</v>
      </c>
      <c r="AN8" s="6">
        <f t="shared" si="9"/>
        <v>0</v>
      </c>
      <c r="AO8" s="6">
        <f t="shared" si="10"/>
        <v>0</v>
      </c>
      <c r="AP8" s="6">
        <f t="shared" si="11"/>
        <v>0</v>
      </c>
      <c r="AQ8" s="6">
        <f t="shared" si="12"/>
        <v>0</v>
      </c>
      <c r="AR8" s="6">
        <f t="shared" si="13"/>
        <v>-1</v>
      </c>
      <c r="AS8" s="6">
        <f t="shared" si="14"/>
        <v>0</v>
      </c>
      <c r="AT8" s="6">
        <f t="shared" si="15"/>
        <v>0</v>
      </c>
      <c r="AU8" s="6">
        <f t="shared" si="16"/>
        <v>0</v>
      </c>
      <c r="AV8" s="6">
        <f t="shared" si="17"/>
        <v>0</v>
      </c>
      <c r="AW8" s="6">
        <f t="shared" si="18"/>
        <v>0</v>
      </c>
      <c r="AX8" s="6">
        <f t="shared" si="19"/>
        <v>-1</v>
      </c>
      <c r="AY8" s="6">
        <f t="shared" si="20"/>
        <v>-1</v>
      </c>
      <c r="AZ8" s="6">
        <f t="shared" si="21"/>
        <v>-1</v>
      </c>
      <c r="BA8" s="6">
        <f t="shared" si="22"/>
        <v>-1</v>
      </c>
      <c r="BB8" s="6">
        <f t="shared" si="23"/>
        <v>0</v>
      </c>
      <c r="BC8" s="6">
        <f t="shared" si="24"/>
        <v>0</v>
      </c>
      <c r="BD8" s="6">
        <f t="shared" si="25"/>
        <v>-1</v>
      </c>
      <c r="BE8" s="6">
        <f t="shared" si="26"/>
        <v>-1</v>
      </c>
      <c r="BF8" s="6">
        <f t="shared" si="27"/>
        <v>-1</v>
      </c>
      <c r="BG8" s="6">
        <f t="shared" si="28"/>
        <v>-1</v>
      </c>
      <c r="BH8" s="6">
        <f t="shared" si="29"/>
        <v>0</v>
      </c>
      <c r="BI8" s="6">
        <f t="shared" si="30"/>
        <v>-1</v>
      </c>
      <c r="BJ8" s="6">
        <f t="shared" si="31"/>
        <v>0</v>
      </c>
      <c r="BK8" s="6">
        <f t="shared" si="32"/>
        <v>0</v>
      </c>
      <c r="BL8" s="6">
        <f t="shared" si="33"/>
        <v>0</v>
      </c>
      <c r="BM8" s="3">
        <f t="shared" si="34"/>
        <v>-10</v>
      </c>
      <c r="BN8" s="3"/>
      <c r="BO8" s="3"/>
    </row>
    <row r="9" spans="1:67" x14ac:dyDescent="0.25">
      <c r="A9" s="3">
        <v>3</v>
      </c>
      <c r="B9" s="8" t="s">
        <v>54</v>
      </c>
      <c r="C9" s="9"/>
      <c r="D9" s="191"/>
      <c r="E9" s="9"/>
      <c r="F9" s="9" t="s">
        <v>48</v>
      </c>
      <c r="G9" s="9" t="s">
        <v>48</v>
      </c>
      <c r="H9" s="9"/>
      <c r="I9" s="9" t="s">
        <v>299</v>
      </c>
      <c r="J9" s="9" t="s">
        <v>48</v>
      </c>
      <c r="K9" s="9"/>
      <c r="L9" s="9" t="s">
        <v>48</v>
      </c>
      <c r="M9" s="9" t="s">
        <v>299</v>
      </c>
      <c r="N9" s="9"/>
      <c r="O9" s="9"/>
      <c r="P9" s="9"/>
      <c r="Q9" s="9"/>
      <c r="R9" s="9" t="s">
        <v>48</v>
      </c>
      <c r="S9" s="9"/>
      <c r="T9" s="9"/>
      <c r="U9" s="9" t="s">
        <v>48</v>
      </c>
      <c r="V9" s="9"/>
      <c r="W9" s="45"/>
      <c r="X9" s="45"/>
      <c r="Y9" s="45"/>
      <c r="Z9" s="45"/>
      <c r="AA9" s="9"/>
      <c r="AB9" s="105">
        <f t="shared" si="2"/>
        <v>6</v>
      </c>
      <c r="AC9" s="101">
        <f t="shared" si="3"/>
        <v>0</v>
      </c>
      <c r="AD9" s="101">
        <f t="shared" si="4"/>
        <v>0</v>
      </c>
      <c r="AE9" s="101">
        <f t="shared" si="5"/>
        <v>-6</v>
      </c>
      <c r="AF9" s="101">
        <f t="shared" si="6"/>
        <v>0</v>
      </c>
      <c r="AG9" s="102" t="e">
        <f t="shared" si="7"/>
        <v>#DIV/0!</v>
      </c>
      <c r="AK9" s="195">
        <f t="shared" si="8"/>
        <v>6</v>
      </c>
      <c r="AN9" s="6">
        <f t="shared" si="9"/>
        <v>0</v>
      </c>
      <c r="AO9" s="6">
        <f t="shared" si="10"/>
        <v>0</v>
      </c>
      <c r="AP9" s="6">
        <f t="shared" si="11"/>
        <v>0</v>
      </c>
      <c r="AQ9" s="6">
        <f t="shared" si="12"/>
        <v>-1</v>
      </c>
      <c r="AR9" s="6">
        <f t="shared" si="13"/>
        <v>-1</v>
      </c>
      <c r="AS9" s="6">
        <f t="shared" si="14"/>
        <v>0</v>
      </c>
      <c r="AT9" s="6">
        <f t="shared" si="15"/>
        <v>0</v>
      </c>
      <c r="AU9" s="6">
        <f t="shared" si="16"/>
        <v>-1</v>
      </c>
      <c r="AV9" s="6">
        <f t="shared" si="17"/>
        <v>0</v>
      </c>
      <c r="AW9" s="6">
        <f t="shared" si="18"/>
        <v>-1</v>
      </c>
      <c r="AX9" s="6">
        <f t="shared" si="19"/>
        <v>0</v>
      </c>
      <c r="AY9" s="6">
        <f t="shared" si="20"/>
        <v>0</v>
      </c>
      <c r="AZ9" s="6">
        <f t="shared" si="21"/>
        <v>0</v>
      </c>
      <c r="BA9" s="6">
        <f t="shared" si="22"/>
        <v>0</v>
      </c>
      <c r="BB9" s="6">
        <f t="shared" si="23"/>
        <v>-1</v>
      </c>
      <c r="BC9" s="6">
        <f t="shared" si="24"/>
        <v>0</v>
      </c>
      <c r="BD9" s="6">
        <f t="shared" si="25"/>
        <v>0</v>
      </c>
      <c r="BE9" s="6">
        <f t="shared" si="26"/>
        <v>-1</v>
      </c>
      <c r="BF9" s="6">
        <f t="shared" si="27"/>
        <v>0</v>
      </c>
      <c r="BG9" s="6">
        <f t="shared" si="28"/>
        <v>0</v>
      </c>
      <c r="BH9" s="6">
        <f t="shared" si="29"/>
        <v>0</v>
      </c>
      <c r="BI9" s="6">
        <f t="shared" si="30"/>
        <v>0</v>
      </c>
      <c r="BJ9" s="6">
        <f t="shared" si="31"/>
        <v>0</v>
      </c>
      <c r="BK9" s="6">
        <f t="shared" si="32"/>
        <v>0</v>
      </c>
      <c r="BL9" s="6">
        <f t="shared" si="33"/>
        <v>0</v>
      </c>
      <c r="BM9" s="3">
        <f t="shared" si="34"/>
        <v>-6</v>
      </c>
      <c r="BN9" s="3"/>
      <c r="BO9" s="3"/>
    </row>
    <row r="10" spans="1:67" x14ac:dyDescent="0.25">
      <c r="A10" s="3">
        <v>4</v>
      </c>
      <c r="B10" s="8" t="s">
        <v>63</v>
      </c>
      <c r="C10" s="9"/>
      <c r="D10" s="191"/>
      <c r="E10" s="9" t="s">
        <v>48</v>
      </c>
      <c r="F10" s="9"/>
      <c r="G10" s="9" t="s">
        <v>299</v>
      </c>
      <c r="H10" s="9"/>
      <c r="I10" s="9" t="s">
        <v>48</v>
      </c>
      <c r="J10" s="9" t="s">
        <v>299</v>
      </c>
      <c r="K10" s="9"/>
      <c r="L10" s="9"/>
      <c r="M10" s="9" t="s">
        <v>48</v>
      </c>
      <c r="N10" s="9" t="s">
        <v>48</v>
      </c>
      <c r="O10" s="9" t="s">
        <v>299</v>
      </c>
      <c r="P10" s="9" t="s">
        <v>48</v>
      </c>
      <c r="Q10" s="9"/>
      <c r="R10" s="9"/>
      <c r="S10" s="9"/>
      <c r="T10" s="9" t="s">
        <v>48</v>
      </c>
      <c r="U10" s="9" t="s">
        <v>48</v>
      </c>
      <c r="V10" s="9" t="s">
        <v>48</v>
      </c>
      <c r="W10" s="45" t="s">
        <v>52</v>
      </c>
      <c r="X10" s="45" t="s">
        <v>48</v>
      </c>
      <c r="Y10" s="45"/>
      <c r="Z10" s="45" t="s">
        <v>48</v>
      </c>
      <c r="AA10" s="9"/>
      <c r="AB10" s="105">
        <f t="shared" si="2"/>
        <v>11</v>
      </c>
      <c r="AC10" s="101">
        <f t="shared" si="3"/>
        <v>0</v>
      </c>
      <c r="AD10" s="101">
        <f t="shared" si="4"/>
        <v>0</v>
      </c>
      <c r="AE10" s="101">
        <f t="shared" si="5"/>
        <v>-9</v>
      </c>
      <c r="AF10" s="101">
        <f t="shared" si="6"/>
        <v>1</v>
      </c>
      <c r="AG10" s="102">
        <f t="shared" si="7"/>
        <v>0</v>
      </c>
      <c r="AK10" s="195">
        <f t="shared" si="8"/>
        <v>10</v>
      </c>
      <c r="AN10" s="6">
        <f t="shared" si="9"/>
        <v>0</v>
      </c>
      <c r="AO10" s="6">
        <f t="shared" si="10"/>
        <v>0</v>
      </c>
      <c r="AP10" s="6">
        <f t="shared" si="11"/>
        <v>-1</v>
      </c>
      <c r="AQ10" s="6">
        <f t="shared" si="12"/>
        <v>0</v>
      </c>
      <c r="AR10" s="6">
        <f t="shared" si="13"/>
        <v>0</v>
      </c>
      <c r="AS10" s="6">
        <f t="shared" si="14"/>
        <v>0</v>
      </c>
      <c r="AT10" s="6">
        <f t="shared" si="15"/>
        <v>-1</v>
      </c>
      <c r="AU10" s="6">
        <f t="shared" si="16"/>
        <v>0</v>
      </c>
      <c r="AV10" s="6">
        <f t="shared" si="17"/>
        <v>0</v>
      </c>
      <c r="AW10" s="6">
        <f t="shared" si="18"/>
        <v>0</v>
      </c>
      <c r="AX10" s="6">
        <f t="shared" si="19"/>
        <v>-1</v>
      </c>
      <c r="AY10" s="6">
        <f t="shared" si="20"/>
        <v>-1</v>
      </c>
      <c r="AZ10" s="6">
        <f t="shared" si="21"/>
        <v>-1</v>
      </c>
      <c r="BA10" s="6">
        <f t="shared" si="22"/>
        <v>0</v>
      </c>
      <c r="BB10" s="6">
        <f t="shared" si="23"/>
        <v>-1</v>
      </c>
      <c r="BC10" s="6">
        <f t="shared" si="24"/>
        <v>-1</v>
      </c>
      <c r="BD10" s="6">
        <f t="shared" si="25"/>
        <v>0</v>
      </c>
      <c r="BE10" s="6">
        <f t="shared" si="26"/>
        <v>0</v>
      </c>
      <c r="BF10" s="6">
        <f t="shared" si="27"/>
        <v>0</v>
      </c>
      <c r="BG10" s="6">
        <f t="shared" si="28"/>
        <v>-1</v>
      </c>
      <c r="BH10" s="6">
        <f t="shared" si="29"/>
        <v>0</v>
      </c>
      <c r="BI10" s="6">
        <f t="shared" si="30"/>
        <v>-1</v>
      </c>
      <c r="BJ10" s="6">
        <f t="shared" si="31"/>
        <v>0</v>
      </c>
      <c r="BK10" s="6">
        <f t="shared" si="32"/>
        <v>0</v>
      </c>
      <c r="BL10" s="6">
        <f t="shared" si="33"/>
        <v>0</v>
      </c>
      <c r="BM10" s="3">
        <f t="shared" si="34"/>
        <v>-9</v>
      </c>
      <c r="BN10" s="3"/>
      <c r="BO10" s="3"/>
    </row>
    <row r="11" spans="1:67" x14ac:dyDescent="0.25">
      <c r="A11" s="3">
        <v>5</v>
      </c>
      <c r="B11" s="8" t="s">
        <v>67</v>
      </c>
      <c r="C11" s="9"/>
      <c r="D11" s="191"/>
      <c r="E11" s="9"/>
      <c r="F11" s="9"/>
      <c r="G11" s="9" t="s">
        <v>52</v>
      </c>
      <c r="H11" s="9" t="s">
        <v>48</v>
      </c>
      <c r="I11" s="9"/>
      <c r="J11" s="9"/>
      <c r="K11" s="9" t="s">
        <v>299</v>
      </c>
      <c r="L11" s="9" t="s">
        <v>48</v>
      </c>
      <c r="M11" s="9"/>
      <c r="N11" s="9"/>
      <c r="O11" s="9"/>
      <c r="P11" s="9" t="s">
        <v>299</v>
      </c>
      <c r="Q11" s="9"/>
      <c r="R11" s="9"/>
      <c r="S11" s="9" t="s">
        <v>48</v>
      </c>
      <c r="T11" s="9" t="s">
        <v>48</v>
      </c>
      <c r="U11" s="9" t="s">
        <v>48</v>
      </c>
      <c r="V11" s="9" t="s">
        <v>48</v>
      </c>
      <c r="W11" s="45" t="s">
        <v>299</v>
      </c>
      <c r="X11" s="45"/>
      <c r="Y11" s="45" t="s">
        <v>48</v>
      </c>
      <c r="Z11" s="45" t="s">
        <v>48</v>
      </c>
      <c r="AA11" s="9"/>
      <c r="AB11" s="105">
        <f t="shared" si="2"/>
        <v>9</v>
      </c>
      <c r="AC11" s="101">
        <f t="shared" si="3"/>
        <v>0</v>
      </c>
      <c r="AD11" s="101">
        <f t="shared" si="4"/>
        <v>0</v>
      </c>
      <c r="AE11" s="101">
        <f t="shared" si="5"/>
        <v>-6</v>
      </c>
      <c r="AF11" s="101">
        <f t="shared" si="6"/>
        <v>1</v>
      </c>
      <c r="AG11" s="102">
        <f t="shared" si="7"/>
        <v>0</v>
      </c>
      <c r="AH11" s="6"/>
      <c r="AI11" s="6"/>
      <c r="AK11" s="195">
        <f t="shared" si="8"/>
        <v>8</v>
      </c>
      <c r="AN11" s="6">
        <f t="shared" si="9"/>
        <v>0</v>
      </c>
      <c r="AO11" s="6">
        <f t="shared" si="10"/>
        <v>0</v>
      </c>
      <c r="AP11" s="6">
        <f t="shared" si="11"/>
        <v>0</v>
      </c>
      <c r="AQ11" s="6">
        <f t="shared" si="12"/>
        <v>0</v>
      </c>
      <c r="AR11" s="6">
        <f t="shared" si="13"/>
        <v>0</v>
      </c>
      <c r="AS11" s="6">
        <f t="shared" si="14"/>
        <v>0</v>
      </c>
      <c r="AT11" s="6">
        <f t="shared" si="15"/>
        <v>0</v>
      </c>
      <c r="AU11" s="6">
        <f t="shared" si="16"/>
        <v>0</v>
      </c>
      <c r="AV11" s="6">
        <f t="shared" si="17"/>
        <v>0</v>
      </c>
      <c r="AW11" s="6">
        <f t="shared" si="18"/>
        <v>-1</v>
      </c>
      <c r="AX11" s="6">
        <f t="shared" si="19"/>
        <v>0</v>
      </c>
      <c r="AY11" s="6">
        <f t="shared" si="20"/>
        <v>0</v>
      </c>
      <c r="AZ11" s="6">
        <f t="shared" si="21"/>
        <v>-1</v>
      </c>
      <c r="BA11" s="6">
        <f t="shared" si="22"/>
        <v>0</v>
      </c>
      <c r="BB11" s="6">
        <f t="shared" si="23"/>
        <v>-1</v>
      </c>
      <c r="BC11" s="6">
        <f t="shared" si="24"/>
        <v>0</v>
      </c>
      <c r="BD11" s="6">
        <f t="shared" si="25"/>
        <v>0</v>
      </c>
      <c r="BE11" s="6">
        <f t="shared" si="26"/>
        <v>0</v>
      </c>
      <c r="BF11" s="6">
        <f t="shared" si="27"/>
        <v>-1</v>
      </c>
      <c r="BG11" s="6">
        <f t="shared" si="28"/>
        <v>-1</v>
      </c>
      <c r="BH11" s="6">
        <f t="shared" si="29"/>
        <v>0</v>
      </c>
      <c r="BI11" s="6">
        <f t="shared" si="30"/>
        <v>0</v>
      </c>
      <c r="BJ11" s="6">
        <f t="shared" si="31"/>
        <v>-1</v>
      </c>
      <c r="BK11" s="6">
        <f t="shared" si="32"/>
        <v>0</v>
      </c>
      <c r="BL11" s="6">
        <f t="shared" si="33"/>
        <v>0</v>
      </c>
      <c r="BM11" s="3">
        <f t="shared" si="34"/>
        <v>-6</v>
      </c>
      <c r="BN11" s="3"/>
      <c r="BO11" s="3"/>
    </row>
    <row r="12" spans="1:67" x14ac:dyDescent="0.25">
      <c r="A12" s="3">
        <v>6</v>
      </c>
      <c r="B12" s="8" t="s">
        <v>61</v>
      </c>
      <c r="C12" s="9" t="s">
        <v>48</v>
      </c>
      <c r="D12" s="191"/>
      <c r="E12" s="9" t="s">
        <v>48</v>
      </c>
      <c r="F12" s="9" t="s">
        <v>299</v>
      </c>
      <c r="G12" s="9" t="s">
        <v>48</v>
      </c>
      <c r="H12" s="9"/>
      <c r="I12" s="9" t="s">
        <v>48</v>
      </c>
      <c r="J12" s="9" t="s">
        <v>48</v>
      </c>
      <c r="K12" s="9" t="s">
        <v>48</v>
      </c>
      <c r="L12" s="9" t="s">
        <v>299</v>
      </c>
      <c r="M12" s="9" t="s">
        <v>299</v>
      </c>
      <c r="N12" s="9" t="s">
        <v>48</v>
      </c>
      <c r="O12" s="9" t="s">
        <v>299</v>
      </c>
      <c r="P12" s="9"/>
      <c r="Q12" s="9" t="s">
        <v>48</v>
      </c>
      <c r="R12" s="9" t="s">
        <v>48</v>
      </c>
      <c r="S12" s="9" t="s">
        <v>299</v>
      </c>
      <c r="T12" s="9" t="s">
        <v>48</v>
      </c>
      <c r="U12" s="9" t="s">
        <v>48</v>
      </c>
      <c r="V12" s="9"/>
      <c r="W12" s="45" t="s">
        <v>48</v>
      </c>
      <c r="X12" s="45" t="s">
        <v>48</v>
      </c>
      <c r="Y12" s="45" t="s">
        <v>48</v>
      </c>
      <c r="Z12" s="45" t="s">
        <v>48</v>
      </c>
      <c r="AA12" s="9"/>
      <c r="AB12" s="105">
        <f t="shared" si="2"/>
        <v>15</v>
      </c>
      <c r="AC12" s="101">
        <f t="shared" si="3"/>
        <v>0</v>
      </c>
      <c r="AD12" s="101">
        <f t="shared" si="4"/>
        <v>0</v>
      </c>
      <c r="AE12" s="101">
        <f t="shared" si="5"/>
        <v>-14</v>
      </c>
      <c r="AF12" s="101">
        <f t="shared" si="6"/>
        <v>0</v>
      </c>
      <c r="AG12" s="102">
        <f t="shared" si="7"/>
        <v>0</v>
      </c>
      <c r="AH12" s="6"/>
      <c r="AI12" s="6"/>
      <c r="AK12" s="195">
        <f t="shared" si="8"/>
        <v>15</v>
      </c>
      <c r="AN12" s="6">
        <f t="shared" si="9"/>
        <v>-1</v>
      </c>
      <c r="AO12" s="6">
        <f t="shared" si="10"/>
        <v>0</v>
      </c>
      <c r="AP12" s="6">
        <f t="shared" si="11"/>
        <v>-1</v>
      </c>
      <c r="AQ12" s="6">
        <f t="shared" si="12"/>
        <v>0</v>
      </c>
      <c r="AR12" s="6">
        <f t="shared" si="13"/>
        <v>-1</v>
      </c>
      <c r="AS12" s="6">
        <f t="shared" si="14"/>
        <v>0</v>
      </c>
      <c r="AT12" s="6">
        <f t="shared" si="15"/>
        <v>-1</v>
      </c>
      <c r="AU12" s="6">
        <f t="shared" si="16"/>
        <v>-1</v>
      </c>
      <c r="AV12" s="6">
        <f t="shared" si="17"/>
        <v>-1</v>
      </c>
      <c r="AW12" s="6">
        <f t="shared" si="18"/>
        <v>0</v>
      </c>
      <c r="AX12" s="6">
        <f t="shared" si="19"/>
        <v>0</v>
      </c>
      <c r="AY12" s="6">
        <f t="shared" si="20"/>
        <v>-1</v>
      </c>
      <c r="AZ12" s="6">
        <f t="shared" si="21"/>
        <v>-1</v>
      </c>
      <c r="BA12" s="6">
        <f t="shared" si="22"/>
        <v>0</v>
      </c>
      <c r="BB12" s="6">
        <f t="shared" si="23"/>
        <v>-1</v>
      </c>
      <c r="BC12" s="6">
        <f t="shared" si="24"/>
        <v>0</v>
      </c>
      <c r="BD12" s="6">
        <f t="shared" si="25"/>
        <v>-1</v>
      </c>
      <c r="BE12" s="6">
        <f t="shared" si="26"/>
        <v>-1</v>
      </c>
      <c r="BF12" s="6">
        <f t="shared" si="27"/>
        <v>0</v>
      </c>
      <c r="BG12" s="6">
        <f t="shared" si="28"/>
        <v>0</v>
      </c>
      <c r="BH12" s="6">
        <f t="shared" si="29"/>
        <v>-1</v>
      </c>
      <c r="BI12" s="6">
        <f t="shared" si="30"/>
        <v>-1</v>
      </c>
      <c r="BJ12" s="6">
        <f t="shared" si="31"/>
        <v>-1</v>
      </c>
      <c r="BK12" s="6">
        <f t="shared" si="32"/>
        <v>0</v>
      </c>
      <c r="BL12" s="6">
        <f t="shared" si="33"/>
        <v>0</v>
      </c>
      <c r="BM12" s="3">
        <f t="shared" si="34"/>
        <v>-14</v>
      </c>
      <c r="BN12" s="3"/>
      <c r="BO12" s="3"/>
    </row>
    <row r="13" spans="1:67" x14ac:dyDescent="0.25">
      <c r="A13" s="3">
        <v>7</v>
      </c>
      <c r="B13" s="8" t="s">
        <v>55</v>
      </c>
      <c r="C13" s="9" t="s">
        <v>48</v>
      </c>
      <c r="D13" s="191"/>
      <c r="E13" s="9"/>
      <c r="F13" s="9" t="s">
        <v>48</v>
      </c>
      <c r="G13" s="9" t="s">
        <v>299</v>
      </c>
      <c r="H13" s="9" t="s">
        <v>48</v>
      </c>
      <c r="I13" s="9" t="s">
        <v>48</v>
      </c>
      <c r="J13" s="9" t="s">
        <v>52</v>
      </c>
      <c r="K13" s="9" t="s">
        <v>299</v>
      </c>
      <c r="L13" s="9" t="s">
        <v>299</v>
      </c>
      <c r="M13" s="9" t="s">
        <v>48</v>
      </c>
      <c r="N13" s="9"/>
      <c r="O13" s="9" t="s">
        <v>48</v>
      </c>
      <c r="P13" s="9" t="s">
        <v>48</v>
      </c>
      <c r="Q13" s="9" t="s">
        <v>48</v>
      </c>
      <c r="R13" s="9"/>
      <c r="S13" s="9" t="s">
        <v>299</v>
      </c>
      <c r="T13" s="9"/>
      <c r="U13" s="9"/>
      <c r="V13" s="9"/>
      <c r="W13" s="45" t="s">
        <v>48</v>
      </c>
      <c r="X13" s="45" t="s">
        <v>48</v>
      </c>
      <c r="Y13" s="45" t="s">
        <v>48</v>
      </c>
      <c r="Z13" s="45"/>
      <c r="AA13" s="9"/>
      <c r="AB13" s="105">
        <f t="shared" si="2"/>
        <v>12</v>
      </c>
      <c r="AC13" s="101">
        <f t="shared" si="3"/>
        <v>0</v>
      </c>
      <c r="AD13" s="101">
        <f t="shared" si="4"/>
        <v>0</v>
      </c>
      <c r="AE13" s="101">
        <f t="shared" si="5"/>
        <v>-10</v>
      </c>
      <c r="AF13" s="101">
        <f t="shared" si="6"/>
        <v>1</v>
      </c>
      <c r="AG13" s="102">
        <f t="shared" si="7"/>
        <v>0</v>
      </c>
      <c r="AK13" s="195">
        <f t="shared" si="8"/>
        <v>11</v>
      </c>
      <c r="AN13" s="6">
        <f t="shared" si="9"/>
        <v>-1</v>
      </c>
      <c r="AO13" s="6">
        <f t="shared" si="10"/>
        <v>0</v>
      </c>
      <c r="AP13" s="6">
        <f t="shared" si="11"/>
        <v>0</v>
      </c>
      <c r="AQ13" s="6">
        <f t="shared" si="12"/>
        <v>-1</v>
      </c>
      <c r="AR13" s="6">
        <f t="shared" si="13"/>
        <v>0</v>
      </c>
      <c r="AS13" s="6">
        <f t="shared" si="14"/>
        <v>0</v>
      </c>
      <c r="AT13" s="6">
        <f t="shared" si="15"/>
        <v>-1</v>
      </c>
      <c r="AU13" s="6">
        <f t="shared" si="16"/>
        <v>0</v>
      </c>
      <c r="AV13" s="6">
        <f t="shared" si="17"/>
        <v>0</v>
      </c>
      <c r="AW13" s="6">
        <f t="shared" si="18"/>
        <v>0</v>
      </c>
      <c r="AX13" s="6">
        <f t="shared" si="19"/>
        <v>-1</v>
      </c>
      <c r="AY13" s="6">
        <f t="shared" si="20"/>
        <v>0</v>
      </c>
      <c r="AZ13" s="6">
        <f t="shared" si="21"/>
        <v>0</v>
      </c>
      <c r="BA13" s="6">
        <f t="shared" si="22"/>
        <v>-1</v>
      </c>
      <c r="BB13" s="6">
        <f t="shared" si="23"/>
        <v>0</v>
      </c>
      <c r="BC13" s="6">
        <f t="shared" si="24"/>
        <v>-1</v>
      </c>
      <c r="BD13" s="6">
        <f t="shared" si="25"/>
        <v>-1</v>
      </c>
      <c r="BE13" s="6">
        <f t="shared" si="26"/>
        <v>0</v>
      </c>
      <c r="BF13" s="6">
        <f t="shared" si="27"/>
        <v>0</v>
      </c>
      <c r="BG13" s="6">
        <f t="shared" si="28"/>
        <v>0</v>
      </c>
      <c r="BH13" s="6">
        <f t="shared" si="29"/>
        <v>-1</v>
      </c>
      <c r="BI13" s="6">
        <f t="shared" si="30"/>
        <v>-1</v>
      </c>
      <c r="BJ13" s="6">
        <f t="shared" si="31"/>
        <v>-1</v>
      </c>
      <c r="BK13" s="6">
        <f t="shared" si="32"/>
        <v>0</v>
      </c>
      <c r="BL13" s="6">
        <f t="shared" si="33"/>
        <v>0</v>
      </c>
      <c r="BM13" s="3">
        <f t="shared" si="34"/>
        <v>-10</v>
      </c>
      <c r="BN13" s="3"/>
      <c r="BO13" s="3"/>
    </row>
    <row r="14" spans="1:67" x14ac:dyDescent="0.25">
      <c r="A14" s="3">
        <v>8</v>
      </c>
      <c r="B14" s="8" t="s">
        <v>57</v>
      </c>
      <c r="C14" s="9" t="s">
        <v>48</v>
      </c>
      <c r="D14" s="191"/>
      <c r="E14" s="9" t="s">
        <v>48</v>
      </c>
      <c r="F14" s="9" t="s">
        <v>48</v>
      </c>
      <c r="G14" s="9"/>
      <c r="H14" s="9" t="s">
        <v>48</v>
      </c>
      <c r="I14" s="9"/>
      <c r="J14" s="9" t="s">
        <v>48</v>
      </c>
      <c r="K14" s="9" t="s">
        <v>299</v>
      </c>
      <c r="L14" s="9" t="s">
        <v>48</v>
      </c>
      <c r="M14" s="9" t="s">
        <v>299</v>
      </c>
      <c r="N14" s="9" t="s">
        <v>299</v>
      </c>
      <c r="O14" s="9" t="s">
        <v>48</v>
      </c>
      <c r="P14" s="9" t="s">
        <v>48</v>
      </c>
      <c r="Q14" s="9" t="s">
        <v>299</v>
      </c>
      <c r="R14" s="9" t="s">
        <v>48</v>
      </c>
      <c r="S14" s="9" t="s">
        <v>48</v>
      </c>
      <c r="T14" s="9"/>
      <c r="U14" s="9"/>
      <c r="V14" s="9" t="s">
        <v>48</v>
      </c>
      <c r="W14" s="45" t="s">
        <v>299</v>
      </c>
      <c r="X14" s="45" t="s">
        <v>48</v>
      </c>
      <c r="Y14" s="45" t="s">
        <v>48</v>
      </c>
      <c r="Z14" s="45"/>
      <c r="AA14" s="9"/>
      <c r="AB14" s="105">
        <f t="shared" si="2"/>
        <v>13</v>
      </c>
      <c r="AC14" s="101">
        <f t="shared" si="3"/>
        <v>0</v>
      </c>
      <c r="AD14" s="101">
        <f t="shared" si="4"/>
        <v>0</v>
      </c>
      <c r="AE14" s="101">
        <f t="shared" si="5"/>
        <v>-12</v>
      </c>
      <c r="AF14" s="101">
        <f t="shared" si="6"/>
        <v>0</v>
      </c>
      <c r="AG14" s="102">
        <f t="shared" si="7"/>
        <v>0</v>
      </c>
      <c r="AK14" s="195">
        <f t="shared" si="8"/>
        <v>13</v>
      </c>
      <c r="AN14" s="6">
        <f t="shared" si="9"/>
        <v>-1</v>
      </c>
      <c r="AO14" s="6">
        <f t="shared" si="10"/>
        <v>0</v>
      </c>
      <c r="AP14" s="6">
        <f t="shared" si="11"/>
        <v>-1</v>
      </c>
      <c r="AQ14" s="6">
        <f t="shared" si="12"/>
        <v>-1</v>
      </c>
      <c r="AR14" s="6">
        <f t="shared" si="13"/>
        <v>0</v>
      </c>
      <c r="AS14" s="6">
        <f t="shared" si="14"/>
        <v>0</v>
      </c>
      <c r="AT14" s="6">
        <f t="shared" si="15"/>
        <v>0</v>
      </c>
      <c r="AU14" s="6">
        <f t="shared" si="16"/>
        <v>-1</v>
      </c>
      <c r="AV14" s="6">
        <f t="shared" si="17"/>
        <v>0</v>
      </c>
      <c r="AW14" s="6">
        <f t="shared" si="18"/>
        <v>-1</v>
      </c>
      <c r="AX14" s="6">
        <f t="shared" si="19"/>
        <v>0</v>
      </c>
      <c r="AY14" s="6">
        <f t="shared" si="20"/>
        <v>0</v>
      </c>
      <c r="AZ14" s="6">
        <f t="shared" si="21"/>
        <v>0</v>
      </c>
      <c r="BA14" s="6">
        <f t="shared" si="22"/>
        <v>-1</v>
      </c>
      <c r="BB14" s="6">
        <f t="shared" si="23"/>
        <v>0</v>
      </c>
      <c r="BC14" s="6">
        <f t="shared" si="24"/>
        <v>-1</v>
      </c>
      <c r="BD14" s="6">
        <f t="shared" si="25"/>
        <v>0</v>
      </c>
      <c r="BE14" s="6">
        <f t="shared" si="26"/>
        <v>-1</v>
      </c>
      <c r="BF14" s="6">
        <f t="shared" si="27"/>
        <v>-1</v>
      </c>
      <c r="BG14" s="6">
        <f t="shared" si="28"/>
        <v>-1</v>
      </c>
      <c r="BH14" s="6">
        <f t="shared" si="29"/>
        <v>0</v>
      </c>
      <c r="BI14" s="6">
        <f t="shared" si="30"/>
        <v>-1</v>
      </c>
      <c r="BJ14" s="6">
        <f t="shared" si="31"/>
        <v>-1</v>
      </c>
      <c r="BK14" s="6">
        <f t="shared" si="32"/>
        <v>0</v>
      </c>
      <c r="BL14" s="6">
        <f t="shared" si="33"/>
        <v>0</v>
      </c>
      <c r="BM14" s="3">
        <f t="shared" si="34"/>
        <v>-12</v>
      </c>
      <c r="BN14" s="3"/>
      <c r="BO14" s="3"/>
    </row>
    <row r="15" spans="1:67" x14ac:dyDescent="0.25">
      <c r="A15" s="3">
        <v>9</v>
      </c>
      <c r="B15" s="8" t="s">
        <v>49</v>
      </c>
      <c r="C15" s="9" t="s">
        <v>48</v>
      </c>
      <c r="D15" s="191"/>
      <c r="E15" s="9" t="s">
        <v>48</v>
      </c>
      <c r="F15" s="9"/>
      <c r="G15" s="9" t="s">
        <v>48</v>
      </c>
      <c r="H15" s="9"/>
      <c r="I15" s="9" t="s">
        <v>299</v>
      </c>
      <c r="J15" s="9" t="s">
        <v>299</v>
      </c>
      <c r="K15" s="9" t="s">
        <v>48</v>
      </c>
      <c r="L15" s="9" t="s">
        <v>48</v>
      </c>
      <c r="M15" s="9" t="s">
        <v>48</v>
      </c>
      <c r="N15" s="9" t="s">
        <v>299</v>
      </c>
      <c r="O15" s="251" t="s">
        <v>299</v>
      </c>
      <c r="P15" s="9" t="s">
        <v>48</v>
      </c>
      <c r="Q15" s="9"/>
      <c r="R15" s="9"/>
      <c r="S15" s="9" t="s">
        <v>299</v>
      </c>
      <c r="T15" s="9" t="s">
        <v>48</v>
      </c>
      <c r="U15" s="9" t="s">
        <v>48</v>
      </c>
      <c r="V15" s="9" t="s">
        <v>48</v>
      </c>
      <c r="W15" s="45" t="s">
        <v>48</v>
      </c>
      <c r="X15" s="45" t="s">
        <v>48</v>
      </c>
      <c r="Y15" s="45" t="s">
        <v>48</v>
      </c>
      <c r="Z15" s="45"/>
      <c r="AA15" s="9"/>
      <c r="AB15" s="105">
        <f t="shared" si="2"/>
        <v>13</v>
      </c>
      <c r="AC15" s="101">
        <f t="shared" si="3"/>
        <v>0</v>
      </c>
      <c r="AD15" s="101">
        <f t="shared" si="4"/>
        <v>0</v>
      </c>
      <c r="AE15" s="101">
        <f t="shared" si="5"/>
        <v>-13</v>
      </c>
      <c r="AF15" s="101">
        <f t="shared" si="6"/>
        <v>0</v>
      </c>
      <c r="AG15" s="102" t="e">
        <f t="shared" si="7"/>
        <v>#DIV/0!</v>
      </c>
      <c r="AK15" s="195">
        <f t="shared" si="8"/>
        <v>13</v>
      </c>
      <c r="AN15" s="6">
        <f t="shared" si="9"/>
        <v>-1</v>
      </c>
      <c r="AO15" s="6">
        <f t="shared" si="10"/>
        <v>0</v>
      </c>
      <c r="AP15" s="6">
        <f t="shared" si="11"/>
        <v>-1</v>
      </c>
      <c r="AQ15" s="6">
        <f t="shared" si="12"/>
        <v>0</v>
      </c>
      <c r="AR15" s="6">
        <f t="shared" si="13"/>
        <v>-1</v>
      </c>
      <c r="AS15" s="6">
        <f t="shared" si="14"/>
        <v>0</v>
      </c>
      <c r="AT15" s="6">
        <f t="shared" si="15"/>
        <v>0</v>
      </c>
      <c r="AU15" s="6">
        <f t="shared" si="16"/>
        <v>0</v>
      </c>
      <c r="AV15" s="6">
        <f t="shared" si="17"/>
        <v>-1</v>
      </c>
      <c r="AW15" s="6">
        <f t="shared" si="18"/>
        <v>-1</v>
      </c>
      <c r="AX15" s="6">
        <f t="shared" si="19"/>
        <v>-1</v>
      </c>
      <c r="AY15" s="6">
        <f t="shared" si="20"/>
        <v>0</v>
      </c>
      <c r="AZ15" s="6">
        <f t="shared" si="21"/>
        <v>-1</v>
      </c>
      <c r="BA15" s="6">
        <f t="shared" si="22"/>
        <v>0</v>
      </c>
      <c r="BB15" s="6">
        <f t="shared" si="23"/>
        <v>-1</v>
      </c>
      <c r="BC15" s="6">
        <f t="shared" si="24"/>
        <v>-1</v>
      </c>
      <c r="BD15" s="6">
        <f t="shared" si="25"/>
        <v>0</v>
      </c>
      <c r="BE15" s="6">
        <f t="shared" si="26"/>
        <v>0</v>
      </c>
      <c r="BF15" s="6">
        <f t="shared" si="27"/>
        <v>0</v>
      </c>
      <c r="BG15" s="6">
        <f t="shared" si="28"/>
        <v>-1</v>
      </c>
      <c r="BH15" s="6">
        <f t="shared" si="29"/>
        <v>-1</v>
      </c>
      <c r="BI15" s="6">
        <f t="shared" si="30"/>
        <v>-1</v>
      </c>
      <c r="BJ15" s="6">
        <f t="shared" si="31"/>
        <v>-1</v>
      </c>
      <c r="BK15" s="6">
        <f t="shared" si="32"/>
        <v>0</v>
      </c>
      <c r="BL15" s="6">
        <f t="shared" si="33"/>
        <v>0</v>
      </c>
      <c r="BM15" s="3">
        <f t="shared" si="34"/>
        <v>-13</v>
      </c>
      <c r="BN15" s="3"/>
      <c r="BO15" s="3"/>
    </row>
    <row r="16" spans="1:67" x14ac:dyDescent="0.25">
      <c r="A16" s="3">
        <v>10</v>
      </c>
      <c r="B16" s="8" t="s">
        <v>59</v>
      </c>
      <c r="C16" s="9" t="s">
        <v>48</v>
      </c>
      <c r="D16" s="191"/>
      <c r="E16" s="9" t="s">
        <v>299</v>
      </c>
      <c r="F16" s="9"/>
      <c r="G16" s="9" t="s">
        <v>48</v>
      </c>
      <c r="H16" s="9"/>
      <c r="I16" s="9" t="s">
        <v>48</v>
      </c>
      <c r="J16" s="9" t="s">
        <v>48</v>
      </c>
      <c r="K16" s="9" t="s">
        <v>48</v>
      </c>
      <c r="L16" s="9" t="s">
        <v>299</v>
      </c>
      <c r="M16" s="9"/>
      <c r="N16" s="9" t="s">
        <v>48</v>
      </c>
      <c r="O16" s="9"/>
      <c r="P16" s="9" t="s">
        <v>299</v>
      </c>
      <c r="Q16" s="9" t="s">
        <v>48</v>
      </c>
      <c r="R16" s="9" t="s">
        <v>48</v>
      </c>
      <c r="S16" s="9" t="s">
        <v>299</v>
      </c>
      <c r="T16" s="9" t="s">
        <v>48</v>
      </c>
      <c r="U16" s="9" t="s">
        <v>299</v>
      </c>
      <c r="V16" s="9"/>
      <c r="W16" s="45" t="s">
        <v>48</v>
      </c>
      <c r="X16" s="45"/>
      <c r="Y16" s="45" t="s">
        <v>48</v>
      </c>
      <c r="Z16" s="45" t="s">
        <v>48</v>
      </c>
      <c r="AA16" s="9"/>
      <c r="AB16" s="105">
        <f t="shared" si="2"/>
        <v>12</v>
      </c>
      <c r="AC16" s="101">
        <f t="shared" si="3"/>
        <v>0</v>
      </c>
      <c r="AD16" s="101">
        <f t="shared" si="4"/>
        <v>0</v>
      </c>
      <c r="AE16" s="101">
        <f t="shared" si="5"/>
        <v>-11</v>
      </c>
      <c r="AF16" s="101">
        <f t="shared" si="6"/>
        <v>0</v>
      </c>
      <c r="AG16" s="102">
        <f t="shared" si="7"/>
        <v>0</v>
      </c>
      <c r="AH16" s="6"/>
      <c r="AI16" s="6"/>
      <c r="AK16" s="195">
        <f t="shared" si="8"/>
        <v>12</v>
      </c>
      <c r="AN16" s="6">
        <f t="shared" si="9"/>
        <v>-1</v>
      </c>
      <c r="AO16" s="6">
        <f t="shared" si="10"/>
        <v>0</v>
      </c>
      <c r="AP16" s="6">
        <f t="shared" si="11"/>
        <v>0</v>
      </c>
      <c r="AQ16" s="6">
        <f t="shared" si="12"/>
        <v>0</v>
      </c>
      <c r="AR16" s="6">
        <f t="shared" si="13"/>
        <v>-1</v>
      </c>
      <c r="AS16" s="6">
        <f t="shared" si="14"/>
        <v>0</v>
      </c>
      <c r="AT16" s="6">
        <f t="shared" si="15"/>
        <v>-1</v>
      </c>
      <c r="AU16" s="6">
        <f t="shared" si="16"/>
        <v>-1</v>
      </c>
      <c r="AV16" s="6">
        <f t="shared" si="17"/>
        <v>-1</v>
      </c>
      <c r="AW16" s="6">
        <f t="shared" si="18"/>
        <v>0</v>
      </c>
      <c r="AX16" s="6">
        <f t="shared" si="19"/>
        <v>0</v>
      </c>
      <c r="AY16" s="6">
        <f t="shared" si="20"/>
        <v>-1</v>
      </c>
      <c r="AZ16" s="6">
        <f t="shared" si="21"/>
        <v>-1</v>
      </c>
      <c r="BA16" s="6">
        <f t="shared" si="22"/>
        <v>0</v>
      </c>
      <c r="BB16" s="6">
        <f t="shared" si="23"/>
        <v>0</v>
      </c>
      <c r="BC16" s="6">
        <f t="shared" si="24"/>
        <v>0</v>
      </c>
      <c r="BD16" s="6">
        <f t="shared" si="25"/>
        <v>-1</v>
      </c>
      <c r="BE16" s="6">
        <f t="shared" si="26"/>
        <v>-1</v>
      </c>
      <c r="BF16" s="6">
        <f t="shared" si="27"/>
        <v>0</v>
      </c>
      <c r="BG16" s="6">
        <f t="shared" si="28"/>
        <v>0</v>
      </c>
      <c r="BH16" s="6">
        <f t="shared" si="29"/>
        <v>-1</v>
      </c>
      <c r="BI16" s="6">
        <f t="shared" si="30"/>
        <v>0</v>
      </c>
      <c r="BJ16" s="6">
        <f t="shared" si="31"/>
        <v>-1</v>
      </c>
      <c r="BK16" s="6">
        <f t="shared" si="32"/>
        <v>0</v>
      </c>
      <c r="BL16" s="6">
        <f t="shared" si="33"/>
        <v>0</v>
      </c>
      <c r="BM16" s="3">
        <f t="shared" si="34"/>
        <v>-11</v>
      </c>
      <c r="BN16" s="3"/>
      <c r="BO16" s="3"/>
    </row>
    <row r="17" spans="1:67" x14ac:dyDescent="0.25">
      <c r="A17" s="3">
        <v>11</v>
      </c>
      <c r="B17" s="8" t="s">
        <v>51</v>
      </c>
      <c r="C17" s="9"/>
      <c r="D17" s="191"/>
      <c r="E17" s="9"/>
      <c r="F17" s="9"/>
      <c r="G17" s="9"/>
      <c r="H17" s="9"/>
      <c r="I17" s="9" t="s">
        <v>299</v>
      </c>
      <c r="J17" s="9"/>
      <c r="K17" s="9"/>
      <c r="L17" s="9"/>
      <c r="M17" s="9" t="s">
        <v>48</v>
      </c>
      <c r="N17" s="9"/>
      <c r="O17" s="9" t="s">
        <v>48</v>
      </c>
      <c r="P17" s="9"/>
      <c r="Q17" s="9" t="s">
        <v>48</v>
      </c>
      <c r="R17" s="9"/>
      <c r="S17" s="9"/>
      <c r="T17" s="9" t="s">
        <v>52</v>
      </c>
      <c r="U17" s="9"/>
      <c r="V17" s="9"/>
      <c r="W17" s="45" t="s">
        <v>48</v>
      </c>
      <c r="X17" s="45"/>
      <c r="Y17" s="45" t="s">
        <v>299</v>
      </c>
      <c r="Z17" s="45"/>
      <c r="AA17" s="9"/>
      <c r="AB17" s="105">
        <f t="shared" si="2"/>
        <v>5</v>
      </c>
      <c r="AC17" s="101">
        <f t="shared" si="3"/>
        <v>0</v>
      </c>
      <c r="AD17" s="101">
        <f t="shared" si="4"/>
        <v>0</v>
      </c>
      <c r="AE17" s="101">
        <f t="shared" si="5"/>
        <v>-4</v>
      </c>
      <c r="AF17" s="101">
        <f t="shared" si="6"/>
        <v>1</v>
      </c>
      <c r="AG17" s="102" t="e">
        <f t="shared" si="7"/>
        <v>#DIV/0!</v>
      </c>
      <c r="AK17" s="195">
        <f t="shared" si="8"/>
        <v>4</v>
      </c>
      <c r="AN17" s="6">
        <f t="shared" si="9"/>
        <v>0</v>
      </c>
      <c r="AO17" s="6">
        <f t="shared" si="10"/>
        <v>0</v>
      </c>
      <c r="AP17" s="6">
        <f t="shared" si="11"/>
        <v>0</v>
      </c>
      <c r="AQ17" s="6">
        <f t="shared" si="12"/>
        <v>0</v>
      </c>
      <c r="AR17" s="6">
        <f t="shared" si="13"/>
        <v>0</v>
      </c>
      <c r="AS17" s="6">
        <f t="shared" si="14"/>
        <v>0</v>
      </c>
      <c r="AT17" s="6">
        <f t="shared" si="15"/>
        <v>0</v>
      </c>
      <c r="AU17" s="6">
        <f t="shared" si="16"/>
        <v>0</v>
      </c>
      <c r="AV17" s="6">
        <f t="shared" si="17"/>
        <v>0</v>
      </c>
      <c r="AW17" s="6">
        <f t="shared" si="18"/>
        <v>0</v>
      </c>
      <c r="AX17" s="6">
        <f t="shared" si="19"/>
        <v>-1</v>
      </c>
      <c r="AY17" s="6">
        <f t="shared" si="20"/>
        <v>0</v>
      </c>
      <c r="AZ17" s="6">
        <f t="shared" si="21"/>
        <v>0</v>
      </c>
      <c r="BA17" s="6">
        <f t="shared" si="22"/>
        <v>-1</v>
      </c>
      <c r="BB17" s="6">
        <f t="shared" si="23"/>
        <v>0</v>
      </c>
      <c r="BC17" s="6">
        <f t="shared" si="24"/>
        <v>0</v>
      </c>
      <c r="BD17" s="6">
        <f t="shared" si="25"/>
        <v>-1</v>
      </c>
      <c r="BE17" s="6">
        <f t="shared" si="26"/>
        <v>0</v>
      </c>
      <c r="BF17" s="6">
        <f t="shared" si="27"/>
        <v>0</v>
      </c>
      <c r="BG17" s="6">
        <f t="shared" si="28"/>
        <v>0</v>
      </c>
      <c r="BH17" s="6">
        <f t="shared" si="29"/>
        <v>-1</v>
      </c>
      <c r="BI17" s="6">
        <f t="shared" si="30"/>
        <v>0</v>
      </c>
      <c r="BJ17" s="6">
        <f t="shared" si="31"/>
        <v>0</v>
      </c>
      <c r="BK17" s="6">
        <f t="shared" si="32"/>
        <v>0</v>
      </c>
      <c r="BL17" s="6">
        <f t="shared" si="33"/>
        <v>0</v>
      </c>
      <c r="BM17" s="3">
        <f t="shared" si="34"/>
        <v>-4</v>
      </c>
      <c r="BN17" s="3"/>
      <c r="BO17" s="3"/>
    </row>
    <row r="18" spans="1:67" x14ac:dyDescent="0.25">
      <c r="A18" s="3">
        <v>12</v>
      </c>
      <c r="B18" s="8" t="s">
        <v>65</v>
      </c>
      <c r="C18" s="9"/>
      <c r="D18" s="191"/>
      <c r="E18" s="9"/>
      <c r="F18" s="9" t="s">
        <v>48</v>
      </c>
      <c r="G18" s="9" t="s">
        <v>48</v>
      </c>
      <c r="H18" s="9" t="s">
        <v>48</v>
      </c>
      <c r="I18" s="9"/>
      <c r="J18" s="9"/>
      <c r="K18" s="9" t="s">
        <v>48</v>
      </c>
      <c r="L18" s="9" t="s">
        <v>299</v>
      </c>
      <c r="M18" s="9" t="s">
        <v>48</v>
      </c>
      <c r="N18" s="253" t="s">
        <v>299</v>
      </c>
      <c r="O18" s="9"/>
      <c r="P18" s="9" t="s">
        <v>299</v>
      </c>
      <c r="Q18" s="9" t="s">
        <v>48</v>
      </c>
      <c r="R18" s="9" t="s">
        <v>48</v>
      </c>
      <c r="S18" s="9" t="s">
        <v>299</v>
      </c>
      <c r="T18" s="9"/>
      <c r="U18" s="9" t="s">
        <v>48</v>
      </c>
      <c r="V18" s="9" t="s">
        <v>48</v>
      </c>
      <c r="W18" s="45" t="s">
        <v>48</v>
      </c>
      <c r="X18" s="45" t="s">
        <v>48</v>
      </c>
      <c r="Y18" s="45" t="s">
        <v>299</v>
      </c>
      <c r="Z18" s="45"/>
      <c r="AA18" s="9"/>
      <c r="AB18" s="105">
        <f t="shared" si="2"/>
        <v>11</v>
      </c>
      <c r="AC18" s="101">
        <f t="shared" si="3"/>
        <v>0</v>
      </c>
      <c r="AD18" s="101">
        <f t="shared" si="4"/>
        <v>0</v>
      </c>
      <c r="AE18" s="101">
        <f t="shared" si="5"/>
        <v>-10</v>
      </c>
      <c r="AF18" s="101">
        <f t="shared" si="6"/>
        <v>0</v>
      </c>
      <c r="AG18" s="102">
        <f t="shared" si="7"/>
        <v>0</v>
      </c>
      <c r="AH18" s="6"/>
      <c r="AI18" s="6"/>
      <c r="AK18" s="195">
        <f t="shared" si="8"/>
        <v>11</v>
      </c>
      <c r="AN18" s="6">
        <f t="shared" si="9"/>
        <v>0</v>
      </c>
      <c r="AO18" s="6">
        <f t="shared" si="10"/>
        <v>0</v>
      </c>
      <c r="AP18" s="6">
        <f t="shared" si="11"/>
        <v>0</v>
      </c>
      <c r="AQ18" s="6">
        <f t="shared" si="12"/>
        <v>-1</v>
      </c>
      <c r="AR18" s="6">
        <f t="shared" si="13"/>
        <v>-1</v>
      </c>
      <c r="AS18" s="6">
        <f t="shared" si="14"/>
        <v>0</v>
      </c>
      <c r="AT18" s="6">
        <f t="shared" si="15"/>
        <v>0</v>
      </c>
      <c r="AU18" s="6">
        <f t="shared" si="16"/>
        <v>0</v>
      </c>
      <c r="AV18" s="6">
        <f t="shared" si="17"/>
        <v>-1</v>
      </c>
      <c r="AW18" s="6">
        <f t="shared" si="18"/>
        <v>0</v>
      </c>
      <c r="AX18" s="6">
        <f t="shared" si="19"/>
        <v>-1</v>
      </c>
      <c r="AY18" s="6">
        <f t="shared" si="20"/>
        <v>0</v>
      </c>
      <c r="AZ18" s="6">
        <f t="shared" si="21"/>
        <v>0</v>
      </c>
      <c r="BA18" s="6">
        <f t="shared" si="22"/>
        <v>0</v>
      </c>
      <c r="BB18" s="6">
        <f t="shared" si="23"/>
        <v>-1</v>
      </c>
      <c r="BC18" s="6">
        <f t="shared" si="24"/>
        <v>0</v>
      </c>
      <c r="BD18" s="6">
        <f t="shared" si="25"/>
        <v>-1</v>
      </c>
      <c r="BE18" s="6">
        <f t="shared" si="26"/>
        <v>-1</v>
      </c>
      <c r="BF18" s="6">
        <f t="shared" si="27"/>
        <v>0</v>
      </c>
      <c r="BG18" s="6">
        <f t="shared" si="28"/>
        <v>-1</v>
      </c>
      <c r="BH18" s="6">
        <f t="shared" si="29"/>
        <v>-1</v>
      </c>
      <c r="BI18" s="6">
        <f t="shared" si="30"/>
        <v>-1</v>
      </c>
      <c r="BJ18" s="6">
        <f t="shared" si="31"/>
        <v>0</v>
      </c>
      <c r="BK18" s="6">
        <f t="shared" si="32"/>
        <v>0</v>
      </c>
      <c r="BL18" s="6">
        <f t="shared" si="33"/>
        <v>0</v>
      </c>
      <c r="BM18" s="3">
        <f t="shared" si="34"/>
        <v>-10</v>
      </c>
      <c r="BN18" s="3"/>
      <c r="BO18" s="3"/>
    </row>
    <row r="19" spans="1:67" x14ac:dyDescent="0.25">
      <c r="A19" s="3">
        <v>13</v>
      </c>
      <c r="B19" s="8" t="s">
        <v>81</v>
      </c>
      <c r="C19" s="9"/>
      <c r="D19" s="191"/>
      <c r="E19" s="9" t="s">
        <v>48</v>
      </c>
      <c r="F19" s="9" t="s">
        <v>48</v>
      </c>
      <c r="G19" s="9"/>
      <c r="H19" s="9" t="s">
        <v>48</v>
      </c>
      <c r="I19" s="9" t="s">
        <v>48</v>
      </c>
      <c r="J19" s="9"/>
      <c r="K19" s="9"/>
      <c r="L19" s="9"/>
      <c r="M19" s="252"/>
      <c r="N19" s="9" t="s">
        <v>299</v>
      </c>
      <c r="O19" s="9"/>
      <c r="P19" s="9" t="s">
        <v>299</v>
      </c>
      <c r="Q19" s="9" t="s">
        <v>48</v>
      </c>
      <c r="R19" s="9" t="s">
        <v>299</v>
      </c>
      <c r="S19" s="9" t="s">
        <v>48</v>
      </c>
      <c r="T19" s="9"/>
      <c r="U19" s="9"/>
      <c r="V19" s="9"/>
      <c r="W19" s="45"/>
      <c r="X19" s="45" t="s">
        <v>52</v>
      </c>
      <c r="Y19" s="45"/>
      <c r="Z19" s="45" t="s">
        <v>52</v>
      </c>
      <c r="AA19" s="9"/>
      <c r="AB19" s="105">
        <f t="shared" si="2"/>
        <v>8</v>
      </c>
      <c r="AC19" s="101">
        <f t="shared" si="3"/>
        <v>0</v>
      </c>
      <c r="AD19" s="101">
        <f t="shared" si="4"/>
        <v>0</v>
      </c>
      <c r="AE19" s="101">
        <f t="shared" si="5"/>
        <v>-5</v>
      </c>
      <c r="AF19" s="101">
        <f t="shared" si="6"/>
        <v>2</v>
      </c>
      <c r="AG19" s="102">
        <f t="shared" si="7"/>
        <v>0</v>
      </c>
      <c r="AH19" s="6" t="s">
        <v>69</v>
      </c>
      <c r="AI19" s="6"/>
      <c r="AK19" s="195">
        <f t="shared" si="8"/>
        <v>6</v>
      </c>
      <c r="AN19" s="6">
        <f t="shared" si="9"/>
        <v>0</v>
      </c>
      <c r="AO19" s="6">
        <f t="shared" si="10"/>
        <v>0</v>
      </c>
      <c r="AP19" s="6">
        <f t="shared" si="11"/>
        <v>-1</v>
      </c>
      <c r="AQ19" s="6">
        <f t="shared" si="12"/>
        <v>-1</v>
      </c>
      <c r="AR19" s="6">
        <f t="shared" si="13"/>
        <v>0</v>
      </c>
      <c r="AS19" s="6">
        <f t="shared" si="14"/>
        <v>0</v>
      </c>
      <c r="AT19" s="6">
        <f t="shared" si="15"/>
        <v>-1</v>
      </c>
      <c r="AU19" s="6">
        <f t="shared" si="16"/>
        <v>0</v>
      </c>
      <c r="AV19" s="6">
        <f t="shared" si="17"/>
        <v>0</v>
      </c>
      <c r="AW19" s="6">
        <f t="shared" si="18"/>
        <v>0</v>
      </c>
      <c r="AX19" s="6">
        <f t="shared" si="19"/>
        <v>0</v>
      </c>
      <c r="AY19" s="6">
        <f t="shared" si="20"/>
        <v>0</v>
      </c>
      <c r="AZ19" s="6">
        <f t="shared" si="21"/>
        <v>0</v>
      </c>
      <c r="BA19" s="6">
        <f t="shared" si="22"/>
        <v>0</v>
      </c>
      <c r="BB19" s="6">
        <f t="shared" si="23"/>
        <v>0</v>
      </c>
      <c r="BC19" s="6">
        <f t="shared" si="24"/>
        <v>0</v>
      </c>
      <c r="BD19" s="6">
        <f t="shared" si="25"/>
        <v>-1</v>
      </c>
      <c r="BE19" s="6">
        <f t="shared" si="26"/>
        <v>0</v>
      </c>
      <c r="BF19" s="6">
        <f t="shared" si="27"/>
        <v>-1</v>
      </c>
      <c r="BG19" s="6">
        <f t="shared" si="28"/>
        <v>0</v>
      </c>
      <c r="BH19" s="6">
        <f t="shared" si="29"/>
        <v>0</v>
      </c>
      <c r="BI19" s="6">
        <f t="shared" si="30"/>
        <v>0</v>
      </c>
      <c r="BJ19" s="6">
        <f t="shared" si="31"/>
        <v>0</v>
      </c>
      <c r="BK19" s="6">
        <f t="shared" si="32"/>
        <v>0</v>
      </c>
      <c r="BL19" s="6">
        <f t="shared" si="33"/>
        <v>0</v>
      </c>
      <c r="BM19" s="3">
        <f t="shared" si="34"/>
        <v>-5</v>
      </c>
      <c r="BN19" s="3"/>
      <c r="BO19" s="3"/>
    </row>
    <row r="20" spans="1:67" x14ac:dyDescent="0.25">
      <c r="A20" s="3">
        <v>14</v>
      </c>
      <c r="B20" s="8" t="s">
        <v>60</v>
      </c>
      <c r="C20" s="9"/>
      <c r="D20" s="191"/>
      <c r="E20" s="9" t="s">
        <v>48</v>
      </c>
      <c r="F20" s="9" t="s">
        <v>48</v>
      </c>
      <c r="G20" s="9"/>
      <c r="H20" s="9"/>
      <c r="I20" s="9" t="s">
        <v>299</v>
      </c>
      <c r="J20" s="9" t="s">
        <v>48</v>
      </c>
      <c r="K20" s="9"/>
      <c r="L20" s="9" t="s">
        <v>48</v>
      </c>
      <c r="M20" s="9" t="s">
        <v>299</v>
      </c>
      <c r="N20" s="9" t="s">
        <v>299</v>
      </c>
      <c r="O20" s="9" t="s">
        <v>48</v>
      </c>
      <c r="P20" s="9" t="s">
        <v>48</v>
      </c>
      <c r="Q20" s="9"/>
      <c r="R20" s="9" t="s">
        <v>48</v>
      </c>
      <c r="S20" s="9" t="s">
        <v>299</v>
      </c>
      <c r="T20" s="9" t="s">
        <v>48</v>
      </c>
      <c r="U20" s="9" t="s">
        <v>48</v>
      </c>
      <c r="V20" s="9"/>
      <c r="W20" s="45" t="s">
        <v>299</v>
      </c>
      <c r="X20" s="45" t="s">
        <v>48</v>
      </c>
      <c r="Y20" s="45"/>
      <c r="Z20" s="45" t="s">
        <v>48</v>
      </c>
      <c r="AA20" s="9"/>
      <c r="AB20" s="105">
        <f t="shared" si="2"/>
        <v>11</v>
      </c>
      <c r="AC20" s="101">
        <f t="shared" si="3"/>
        <v>0</v>
      </c>
      <c r="AD20" s="101">
        <f t="shared" si="4"/>
        <v>0</v>
      </c>
      <c r="AE20" s="101">
        <f t="shared" si="5"/>
        <v>-10</v>
      </c>
      <c r="AF20" s="101">
        <f t="shared" si="6"/>
        <v>0</v>
      </c>
      <c r="AG20" s="102">
        <f t="shared" si="7"/>
        <v>0</v>
      </c>
      <c r="AK20" s="195">
        <f t="shared" si="8"/>
        <v>11</v>
      </c>
      <c r="AN20" s="6">
        <f t="shared" si="9"/>
        <v>0</v>
      </c>
      <c r="AO20" s="6">
        <f t="shared" si="10"/>
        <v>0</v>
      </c>
      <c r="AP20" s="6">
        <f t="shared" si="11"/>
        <v>-1</v>
      </c>
      <c r="AQ20" s="6">
        <f t="shared" si="12"/>
        <v>-1</v>
      </c>
      <c r="AR20" s="6">
        <f t="shared" si="13"/>
        <v>0</v>
      </c>
      <c r="AS20" s="6">
        <f t="shared" si="14"/>
        <v>0</v>
      </c>
      <c r="AT20" s="6">
        <f t="shared" si="15"/>
        <v>0</v>
      </c>
      <c r="AU20" s="6">
        <f t="shared" si="16"/>
        <v>-1</v>
      </c>
      <c r="AV20" s="6">
        <f t="shared" si="17"/>
        <v>0</v>
      </c>
      <c r="AW20" s="6">
        <f t="shared" si="18"/>
        <v>-1</v>
      </c>
      <c r="AX20" s="6">
        <f t="shared" si="19"/>
        <v>0</v>
      </c>
      <c r="AY20" s="6">
        <f t="shared" si="20"/>
        <v>0</v>
      </c>
      <c r="AZ20" s="6">
        <f t="shared" si="21"/>
        <v>-1</v>
      </c>
      <c r="BA20" s="6">
        <f t="shared" si="22"/>
        <v>-1</v>
      </c>
      <c r="BB20" s="6">
        <f t="shared" si="23"/>
        <v>-1</v>
      </c>
      <c r="BC20" s="6">
        <f t="shared" si="24"/>
        <v>-1</v>
      </c>
      <c r="BD20" s="6">
        <f t="shared" si="25"/>
        <v>0</v>
      </c>
      <c r="BE20" s="6">
        <f t="shared" si="26"/>
        <v>-1</v>
      </c>
      <c r="BF20" s="6">
        <f t="shared" si="27"/>
        <v>0</v>
      </c>
      <c r="BG20" s="6">
        <f t="shared" si="28"/>
        <v>0</v>
      </c>
      <c r="BH20" s="6">
        <f t="shared" si="29"/>
        <v>0</v>
      </c>
      <c r="BI20" s="6">
        <f t="shared" si="30"/>
        <v>-1</v>
      </c>
      <c r="BJ20" s="6">
        <f t="shared" si="31"/>
        <v>0</v>
      </c>
      <c r="BK20" s="6">
        <f t="shared" si="32"/>
        <v>0</v>
      </c>
      <c r="BL20" s="6">
        <f t="shared" si="33"/>
        <v>0</v>
      </c>
      <c r="BM20" s="3">
        <f t="shared" si="34"/>
        <v>-10</v>
      </c>
      <c r="BN20" s="3"/>
      <c r="BO20" s="3"/>
    </row>
    <row r="21" spans="1:67" x14ac:dyDescent="0.25">
      <c r="A21" s="3">
        <v>15</v>
      </c>
      <c r="B21" s="8" t="s">
        <v>72</v>
      </c>
      <c r="C21" s="9" t="s">
        <v>74</v>
      </c>
      <c r="D21" s="191"/>
      <c r="E21" s="9" t="s">
        <v>48</v>
      </c>
      <c r="F21" s="9" t="s">
        <v>48</v>
      </c>
      <c r="G21" s="9"/>
      <c r="H21" s="9"/>
      <c r="I21" s="9" t="s">
        <v>48</v>
      </c>
      <c r="J21" s="9" t="s">
        <v>48</v>
      </c>
      <c r="K21" s="9"/>
      <c r="L21" s="9"/>
      <c r="M21" s="9"/>
      <c r="N21" s="9" t="s">
        <v>299</v>
      </c>
      <c r="O21" s="9" t="s">
        <v>299</v>
      </c>
      <c r="P21" s="9" t="s">
        <v>299</v>
      </c>
      <c r="Q21" s="9"/>
      <c r="R21" s="9" t="s">
        <v>48</v>
      </c>
      <c r="S21" s="9" t="s">
        <v>48</v>
      </c>
      <c r="T21" s="9" t="s">
        <v>48</v>
      </c>
      <c r="U21" s="9"/>
      <c r="V21" s="9"/>
      <c r="W21" s="45" t="s">
        <v>52</v>
      </c>
      <c r="X21" s="45" t="s">
        <v>299</v>
      </c>
      <c r="Y21" s="45" t="s">
        <v>48</v>
      </c>
      <c r="Z21" s="45"/>
      <c r="AA21" s="9"/>
      <c r="AB21" s="105">
        <f t="shared" si="2"/>
        <v>10</v>
      </c>
      <c r="AC21" s="101">
        <f t="shared" si="3"/>
        <v>0</v>
      </c>
      <c r="AD21" s="101">
        <f t="shared" si="4"/>
        <v>1</v>
      </c>
      <c r="AE21" s="101">
        <f t="shared" si="5"/>
        <v>-8</v>
      </c>
      <c r="AF21" s="101">
        <f t="shared" si="6"/>
        <v>1</v>
      </c>
      <c r="AG21" s="102" t="e">
        <f t="shared" si="7"/>
        <v>#DIV/0!</v>
      </c>
      <c r="AK21" s="195">
        <f t="shared" si="8"/>
        <v>9</v>
      </c>
      <c r="AN21" s="6">
        <f t="shared" si="9"/>
        <v>0</v>
      </c>
      <c r="AO21" s="6">
        <f t="shared" si="10"/>
        <v>0</v>
      </c>
      <c r="AP21" s="6">
        <f t="shared" si="11"/>
        <v>-1</v>
      </c>
      <c r="AQ21" s="6">
        <f t="shared" si="12"/>
        <v>-1</v>
      </c>
      <c r="AR21" s="6">
        <f t="shared" si="13"/>
        <v>0</v>
      </c>
      <c r="AS21" s="6">
        <f t="shared" si="14"/>
        <v>0</v>
      </c>
      <c r="AT21" s="6">
        <f t="shared" si="15"/>
        <v>-1</v>
      </c>
      <c r="AU21" s="6">
        <f t="shared" si="16"/>
        <v>-1</v>
      </c>
      <c r="AV21" s="6">
        <f t="shared" si="17"/>
        <v>0</v>
      </c>
      <c r="AW21" s="6">
        <f t="shared" si="18"/>
        <v>0</v>
      </c>
      <c r="AX21" s="6">
        <f t="shared" si="19"/>
        <v>0</v>
      </c>
      <c r="AY21" s="6">
        <f t="shared" si="20"/>
        <v>0</v>
      </c>
      <c r="AZ21" s="6">
        <f t="shared" si="21"/>
        <v>-1</v>
      </c>
      <c r="BA21" s="6">
        <f t="shared" si="22"/>
        <v>0</v>
      </c>
      <c r="BB21" s="6">
        <f t="shared" si="23"/>
        <v>0</v>
      </c>
      <c r="BC21" s="6">
        <f t="shared" si="24"/>
        <v>0</v>
      </c>
      <c r="BD21" s="6">
        <f t="shared" si="25"/>
        <v>0</v>
      </c>
      <c r="BE21" s="6">
        <f t="shared" si="26"/>
        <v>-1</v>
      </c>
      <c r="BF21" s="6">
        <f t="shared" si="27"/>
        <v>-1</v>
      </c>
      <c r="BG21" s="6">
        <f t="shared" si="28"/>
        <v>0</v>
      </c>
      <c r="BH21" s="6">
        <f t="shared" si="29"/>
        <v>0</v>
      </c>
      <c r="BI21" s="6">
        <f t="shared" si="30"/>
        <v>0</v>
      </c>
      <c r="BJ21" s="6">
        <f t="shared" si="31"/>
        <v>-1</v>
      </c>
      <c r="BK21" s="6">
        <f t="shared" si="32"/>
        <v>0</v>
      </c>
      <c r="BL21" s="6">
        <f t="shared" si="33"/>
        <v>0</v>
      </c>
      <c r="BM21" s="3">
        <f t="shared" si="34"/>
        <v>-8</v>
      </c>
      <c r="BN21" s="3"/>
      <c r="BO21" s="3"/>
    </row>
    <row r="22" spans="1:67" x14ac:dyDescent="0.25">
      <c r="A22" s="3">
        <v>16</v>
      </c>
      <c r="B22" s="8" t="s">
        <v>53</v>
      </c>
      <c r="C22" s="9" t="s">
        <v>48</v>
      </c>
      <c r="D22" s="191"/>
      <c r="E22" s="9"/>
      <c r="F22" s="9"/>
      <c r="G22" s="9" t="s">
        <v>299</v>
      </c>
      <c r="H22" s="9" t="s">
        <v>48</v>
      </c>
      <c r="I22" s="9" t="s">
        <v>48</v>
      </c>
      <c r="J22" s="9" t="s">
        <v>48</v>
      </c>
      <c r="K22" s="9" t="s">
        <v>48</v>
      </c>
      <c r="L22" s="9" t="s">
        <v>299</v>
      </c>
      <c r="M22" s="9" t="s">
        <v>299</v>
      </c>
      <c r="N22" s="9" t="s">
        <v>48</v>
      </c>
      <c r="O22" s="9"/>
      <c r="P22" s="9" t="s">
        <v>48</v>
      </c>
      <c r="Q22" s="9" t="s">
        <v>48</v>
      </c>
      <c r="R22" s="9"/>
      <c r="S22" s="9" t="s">
        <v>299</v>
      </c>
      <c r="T22" s="9" t="s">
        <v>299</v>
      </c>
      <c r="U22" s="9"/>
      <c r="V22" s="9" t="s">
        <v>299</v>
      </c>
      <c r="W22" s="45" t="s">
        <v>48</v>
      </c>
      <c r="X22" s="45" t="s">
        <v>48</v>
      </c>
      <c r="Y22" s="45" t="s">
        <v>48</v>
      </c>
      <c r="Z22" s="45"/>
      <c r="AA22" s="9"/>
      <c r="AB22" s="105">
        <f t="shared" si="2"/>
        <v>11</v>
      </c>
      <c r="AC22" s="101">
        <f t="shared" si="3"/>
        <v>0</v>
      </c>
      <c r="AD22" s="101">
        <f t="shared" si="4"/>
        <v>0</v>
      </c>
      <c r="AE22" s="101">
        <f t="shared" si="5"/>
        <v>-10</v>
      </c>
      <c r="AF22" s="101">
        <f t="shared" si="6"/>
        <v>0</v>
      </c>
      <c r="AG22" s="102">
        <f t="shared" si="7"/>
        <v>0</v>
      </c>
      <c r="AH22" s="6"/>
      <c r="AI22" s="6"/>
      <c r="AK22" s="195">
        <f t="shared" si="8"/>
        <v>11</v>
      </c>
      <c r="AN22" s="6">
        <f t="shared" si="9"/>
        <v>-1</v>
      </c>
      <c r="AO22" s="6">
        <f t="shared" si="10"/>
        <v>0</v>
      </c>
      <c r="AP22" s="6">
        <f t="shared" si="11"/>
        <v>0</v>
      </c>
      <c r="AQ22" s="6">
        <f t="shared" si="12"/>
        <v>0</v>
      </c>
      <c r="AR22" s="6">
        <f t="shared" si="13"/>
        <v>0</v>
      </c>
      <c r="AS22" s="6">
        <f t="shared" si="14"/>
        <v>0</v>
      </c>
      <c r="AT22" s="6">
        <f t="shared" si="15"/>
        <v>-1</v>
      </c>
      <c r="AU22" s="6">
        <f t="shared" si="16"/>
        <v>-1</v>
      </c>
      <c r="AV22" s="6">
        <f t="shared" si="17"/>
        <v>-1</v>
      </c>
      <c r="AW22" s="6">
        <f t="shared" si="18"/>
        <v>0</v>
      </c>
      <c r="AX22" s="6">
        <f t="shared" si="19"/>
        <v>0</v>
      </c>
      <c r="AY22" s="6">
        <f t="shared" si="20"/>
        <v>-1</v>
      </c>
      <c r="AZ22" s="6">
        <f t="shared" si="21"/>
        <v>0</v>
      </c>
      <c r="BA22" s="6">
        <f t="shared" si="22"/>
        <v>0</v>
      </c>
      <c r="BB22" s="6">
        <f t="shared" si="23"/>
        <v>0</v>
      </c>
      <c r="BC22" s="6">
        <f t="shared" si="24"/>
        <v>-1</v>
      </c>
      <c r="BD22" s="6">
        <f t="shared" si="25"/>
        <v>-1</v>
      </c>
      <c r="BE22" s="6">
        <f t="shared" si="26"/>
        <v>0</v>
      </c>
      <c r="BF22" s="6">
        <f t="shared" si="27"/>
        <v>0</v>
      </c>
      <c r="BG22" s="6">
        <f t="shared" si="28"/>
        <v>0</v>
      </c>
      <c r="BH22" s="6">
        <f t="shared" si="29"/>
        <v>-1</v>
      </c>
      <c r="BI22" s="6">
        <f t="shared" si="30"/>
        <v>-1</v>
      </c>
      <c r="BJ22" s="6">
        <f t="shared" si="31"/>
        <v>-1</v>
      </c>
      <c r="BK22" s="6">
        <f t="shared" si="32"/>
        <v>0</v>
      </c>
      <c r="BL22" s="6">
        <f t="shared" si="33"/>
        <v>0</v>
      </c>
      <c r="BM22" s="3">
        <f t="shared" si="34"/>
        <v>-10</v>
      </c>
      <c r="BN22" s="3"/>
      <c r="BO22" s="3"/>
    </row>
    <row r="23" spans="1:67" x14ac:dyDescent="0.25">
      <c r="A23" s="3">
        <v>17</v>
      </c>
      <c r="B23" s="8" t="s">
        <v>80</v>
      </c>
      <c r="C23" s="9" t="s">
        <v>48</v>
      </c>
      <c r="D23" s="191"/>
      <c r="E23" s="9"/>
      <c r="F23" s="9" t="s">
        <v>299</v>
      </c>
      <c r="G23" s="9" t="s">
        <v>48</v>
      </c>
      <c r="H23" s="9"/>
      <c r="I23" s="9" t="s">
        <v>299</v>
      </c>
      <c r="J23" s="9" t="s">
        <v>48</v>
      </c>
      <c r="K23" s="9"/>
      <c r="L23" s="9" t="s">
        <v>48</v>
      </c>
      <c r="M23" s="9"/>
      <c r="N23" s="9"/>
      <c r="O23" s="9" t="s">
        <v>48</v>
      </c>
      <c r="P23" s="9"/>
      <c r="Q23" s="9"/>
      <c r="R23" s="9" t="s">
        <v>52</v>
      </c>
      <c r="S23" s="9" t="s">
        <v>52</v>
      </c>
      <c r="T23" s="9"/>
      <c r="U23" s="9" t="s">
        <v>299</v>
      </c>
      <c r="V23" s="9"/>
      <c r="W23" s="45"/>
      <c r="X23" s="45"/>
      <c r="Y23" s="45" t="s">
        <v>299</v>
      </c>
      <c r="Z23" s="45" t="s">
        <v>48</v>
      </c>
      <c r="AA23" s="9"/>
      <c r="AB23" s="105">
        <f t="shared" si="2"/>
        <v>8</v>
      </c>
      <c r="AC23" s="101">
        <f t="shared" si="3"/>
        <v>0</v>
      </c>
      <c r="AD23" s="101">
        <f t="shared" si="4"/>
        <v>0</v>
      </c>
      <c r="AE23" s="101">
        <f t="shared" si="5"/>
        <v>-5</v>
      </c>
      <c r="AF23" s="101">
        <f t="shared" si="6"/>
        <v>2</v>
      </c>
      <c r="AG23" s="102">
        <f t="shared" si="7"/>
        <v>0</v>
      </c>
      <c r="AK23" s="195">
        <f t="shared" si="8"/>
        <v>6</v>
      </c>
      <c r="AN23" s="6">
        <f t="shared" si="9"/>
        <v>-1</v>
      </c>
      <c r="AO23" s="6">
        <f t="shared" si="10"/>
        <v>0</v>
      </c>
      <c r="AP23" s="6">
        <f t="shared" si="11"/>
        <v>0</v>
      </c>
      <c r="AQ23" s="6">
        <f t="shared" si="12"/>
        <v>0</v>
      </c>
      <c r="AR23" s="6">
        <f t="shared" si="13"/>
        <v>-1</v>
      </c>
      <c r="AS23" s="6">
        <f t="shared" si="14"/>
        <v>0</v>
      </c>
      <c r="AT23" s="6">
        <f t="shared" si="15"/>
        <v>0</v>
      </c>
      <c r="AU23" s="6">
        <f t="shared" si="16"/>
        <v>-1</v>
      </c>
      <c r="AV23" s="6">
        <f t="shared" si="17"/>
        <v>0</v>
      </c>
      <c r="AW23" s="6">
        <f t="shared" si="18"/>
        <v>-1</v>
      </c>
      <c r="AX23" s="6">
        <f t="shared" si="19"/>
        <v>0</v>
      </c>
      <c r="AY23" s="6">
        <f t="shared" si="20"/>
        <v>0</v>
      </c>
      <c r="AZ23" s="6">
        <f t="shared" si="21"/>
        <v>0</v>
      </c>
      <c r="BA23" s="6">
        <f t="shared" si="22"/>
        <v>-1</v>
      </c>
      <c r="BB23" s="6">
        <f t="shared" si="23"/>
        <v>0</v>
      </c>
      <c r="BC23" s="6">
        <f t="shared" si="24"/>
        <v>0</v>
      </c>
      <c r="BD23" s="6">
        <f t="shared" si="25"/>
        <v>0</v>
      </c>
      <c r="BE23" s="6">
        <f t="shared" si="26"/>
        <v>0</v>
      </c>
      <c r="BF23" s="6">
        <f t="shared" si="27"/>
        <v>0</v>
      </c>
      <c r="BG23" s="6">
        <f t="shared" si="28"/>
        <v>0</v>
      </c>
      <c r="BH23" s="6">
        <f t="shared" si="29"/>
        <v>0</v>
      </c>
      <c r="BI23" s="6">
        <f t="shared" si="30"/>
        <v>0</v>
      </c>
      <c r="BJ23" s="6">
        <f t="shared" si="31"/>
        <v>0</v>
      </c>
      <c r="BK23" s="6">
        <f t="shared" si="32"/>
        <v>0</v>
      </c>
      <c r="BL23" s="6">
        <f t="shared" si="33"/>
        <v>0</v>
      </c>
      <c r="BM23" s="3">
        <f t="shared" si="34"/>
        <v>-5</v>
      </c>
      <c r="BN23" s="3"/>
      <c r="BO23" s="3"/>
    </row>
    <row r="24" spans="1:67" x14ac:dyDescent="0.25">
      <c r="A24" s="3">
        <v>18</v>
      </c>
      <c r="B24" s="8" t="s">
        <v>70</v>
      </c>
      <c r="C24" s="9" t="s">
        <v>52</v>
      </c>
      <c r="D24" s="191"/>
      <c r="E24" s="9"/>
      <c r="F24" s="9" t="s">
        <v>52</v>
      </c>
      <c r="G24" s="9" t="s">
        <v>52</v>
      </c>
      <c r="H24" s="9"/>
      <c r="I24" s="9" t="s">
        <v>52</v>
      </c>
      <c r="J24" s="9" t="s">
        <v>299</v>
      </c>
      <c r="K24" s="9" t="s">
        <v>48</v>
      </c>
      <c r="L24" s="9"/>
      <c r="M24" s="9" t="s">
        <v>48</v>
      </c>
      <c r="N24" s="9" t="s">
        <v>48</v>
      </c>
      <c r="O24" s="9" t="s">
        <v>299</v>
      </c>
      <c r="P24" s="9" t="s">
        <v>48</v>
      </c>
      <c r="Q24" s="9" t="s">
        <v>48</v>
      </c>
      <c r="R24" s="9"/>
      <c r="S24" s="9" t="s">
        <v>299</v>
      </c>
      <c r="T24" s="9" t="s">
        <v>48</v>
      </c>
      <c r="U24" s="9" t="s">
        <v>48</v>
      </c>
      <c r="V24" s="9"/>
      <c r="W24" s="45" t="s">
        <v>299</v>
      </c>
      <c r="X24" s="45" t="s">
        <v>299</v>
      </c>
      <c r="Y24" s="45" t="s">
        <v>52</v>
      </c>
      <c r="Z24" s="45"/>
      <c r="AA24" s="9"/>
      <c r="AB24" s="105">
        <f t="shared" si="2"/>
        <v>12</v>
      </c>
      <c r="AC24" s="101">
        <f t="shared" si="3"/>
        <v>0</v>
      </c>
      <c r="AD24" s="101">
        <f t="shared" si="4"/>
        <v>0</v>
      </c>
      <c r="AE24" s="101">
        <f t="shared" si="5"/>
        <v>-7</v>
      </c>
      <c r="AF24" s="101">
        <f t="shared" si="6"/>
        <v>5</v>
      </c>
      <c r="AG24" s="102" t="e">
        <f t="shared" si="7"/>
        <v>#DIV/0!</v>
      </c>
      <c r="AH24" s="6"/>
      <c r="AI24" s="6"/>
      <c r="AK24" s="195">
        <f t="shared" si="8"/>
        <v>7</v>
      </c>
      <c r="AN24" s="6">
        <f t="shared" si="9"/>
        <v>0</v>
      </c>
      <c r="AO24" s="6">
        <f t="shared" si="10"/>
        <v>0</v>
      </c>
      <c r="AP24" s="6">
        <f t="shared" si="11"/>
        <v>0</v>
      </c>
      <c r="AQ24" s="6">
        <f t="shared" si="12"/>
        <v>0</v>
      </c>
      <c r="AR24" s="6">
        <f t="shared" si="13"/>
        <v>0</v>
      </c>
      <c r="AS24" s="6">
        <f t="shared" si="14"/>
        <v>0</v>
      </c>
      <c r="AT24" s="6">
        <f t="shared" si="15"/>
        <v>0</v>
      </c>
      <c r="AU24" s="6">
        <f t="shared" si="16"/>
        <v>0</v>
      </c>
      <c r="AV24" s="6">
        <f t="shared" si="17"/>
        <v>-1</v>
      </c>
      <c r="AW24" s="6">
        <f t="shared" si="18"/>
        <v>0</v>
      </c>
      <c r="AX24" s="6">
        <f t="shared" si="19"/>
        <v>-1</v>
      </c>
      <c r="AY24" s="6">
        <f t="shared" si="20"/>
        <v>-1</v>
      </c>
      <c r="AZ24" s="6">
        <f t="shared" si="21"/>
        <v>-1</v>
      </c>
      <c r="BA24" s="6">
        <f t="shared" si="22"/>
        <v>0</v>
      </c>
      <c r="BB24" s="6">
        <f t="shared" si="23"/>
        <v>-1</v>
      </c>
      <c r="BC24" s="6">
        <f t="shared" si="24"/>
        <v>-1</v>
      </c>
      <c r="BD24" s="6">
        <f t="shared" si="25"/>
        <v>-1</v>
      </c>
      <c r="BE24" s="6">
        <f t="shared" si="26"/>
        <v>0</v>
      </c>
      <c r="BF24" s="6">
        <f t="shared" si="27"/>
        <v>0</v>
      </c>
      <c r="BG24" s="6">
        <f t="shared" si="28"/>
        <v>0</v>
      </c>
      <c r="BH24" s="6">
        <f t="shared" si="29"/>
        <v>0</v>
      </c>
      <c r="BI24" s="6">
        <f t="shared" si="30"/>
        <v>0</v>
      </c>
      <c r="BJ24" s="6">
        <f t="shared" si="31"/>
        <v>0</v>
      </c>
      <c r="BK24" s="6">
        <f t="shared" si="32"/>
        <v>0</v>
      </c>
      <c r="BL24" s="6">
        <f t="shared" si="33"/>
        <v>0</v>
      </c>
      <c r="BM24" s="3">
        <f t="shared" si="34"/>
        <v>-7</v>
      </c>
      <c r="BN24" s="3"/>
      <c r="BO24" s="3"/>
    </row>
    <row r="25" spans="1:67" x14ac:dyDescent="0.25">
      <c r="A25" s="3">
        <v>19</v>
      </c>
      <c r="B25" s="238" t="s">
        <v>62</v>
      </c>
      <c r="C25" s="9" t="s">
        <v>48</v>
      </c>
      <c r="D25" s="191"/>
      <c r="E25" s="9" t="s">
        <v>48</v>
      </c>
      <c r="F25" s="9" t="s">
        <v>48</v>
      </c>
      <c r="G25" s="9" t="s">
        <v>48</v>
      </c>
      <c r="H25" s="9" t="s">
        <v>48</v>
      </c>
      <c r="I25" s="9"/>
      <c r="J25" s="9"/>
      <c r="K25" s="9" t="s">
        <v>48</v>
      </c>
      <c r="L25" s="9" t="s">
        <v>299</v>
      </c>
      <c r="M25" s="9" t="s">
        <v>299</v>
      </c>
      <c r="N25" s="9" t="s">
        <v>48</v>
      </c>
      <c r="O25" s="9" t="s">
        <v>299</v>
      </c>
      <c r="P25" s="9" t="s">
        <v>52</v>
      </c>
      <c r="Q25" s="9" t="s">
        <v>299</v>
      </c>
      <c r="R25" s="9" t="s">
        <v>299</v>
      </c>
      <c r="S25" s="9" t="s">
        <v>48</v>
      </c>
      <c r="T25" s="9" t="s">
        <v>299</v>
      </c>
      <c r="U25" s="9" t="s">
        <v>52</v>
      </c>
      <c r="V25" s="9"/>
      <c r="W25" s="45" t="s">
        <v>52</v>
      </c>
      <c r="X25" s="45" t="s">
        <v>52</v>
      </c>
      <c r="Y25" s="45"/>
      <c r="Z25" s="45"/>
      <c r="AA25" s="9"/>
      <c r="AB25" s="105">
        <f t="shared" si="2"/>
        <v>12</v>
      </c>
      <c r="AC25" s="101">
        <f t="shared" si="3"/>
        <v>0</v>
      </c>
      <c r="AD25" s="101">
        <f t="shared" si="4"/>
        <v>0</v>
      </c>
      <c r="AE25" s="101">
        <f t="shared" si="5"/>
        <v>-7</v>
      </c>
      <c r="AF25" s="101">
        <f t="shared" si="6"/>
        <v>4</v>
      </c>
      <c r="AG25" s="102">
        <f t="shared" si="7"/>
        <v>0</v>
      </c>
      <c r="AH25" s="6"/>
      <c r="AI25" s="6"/>
      <c r="AK25" s="195">
        <f t="shared" si="8"/>
        <v>8</v>
      </c>
      <c r="AN25" s="6">
        <f t="shared" si="9"/>
        <v>-1</v>
      </c>
      <c r="AO25" s="6">
        <f t="shared" si="10"/>
        <v>0</v>
      </c>
      <c r="AP25" s="6">
        <f t="shared" si="11"/>
        <v>-1</v>
      </c>
      <c r="AQ25" s="6">
        <f t="shared" si="12"/>
        <v>-1</v>
      </c>
      <c r="AR25" s="6">
        <f t="shared" si="13"/>
        <v>-1</v>
      </c>
      <c r="AS25" s="6">
        <f t="shared" si="14"/>
        <v>0</v>
      </c>
      <c r="AT25" s="6">
        <f t="shared" si="15"/>
        <v>0</v>
      </c>
      <c r="AU25" s="6">
        <f t="shared" si="16"/>
        <v>0</v>
      </c>
      <c r="AV25" s="6">
        <f t="shared" si="17"/>
        <v>-1</v>
      </c>
      <c r="AW25" s="6">
        <f t="shared" si="18"/>
        <v>0</v>
      </c>
      <c r="AX25" s="6">
        <f t="shared" si="19"/>
        <v>0</v>
      </c>
      <c r="AY25" s="6">
        <f t="shared" si="20"/>
        <v>-1</v>
      </c>
      <c r="AZ25" s="6">
        <f t="shared" si="21"/>
        <v>0</v>
      </c>
      <c r="BA25" s="6">
        <f t="shared" si="22"/>
        <v>0</v>
      </c>
      <c r="BB25" s="6">
        <f t="shared" si="23"/>
        <v>0</v>
      </c>
      <c r="BC25" s="6">
        <f t="shared" si="24"/>
        <v>0</v>
      </c>
      <c r="BD25" s="6">
        <f t="shared" si="25"/>
        <v>0</v>
      </c>
      <c r="BE25" s="6">
        <f t="shared" si="26"/>
        <v>0</v>
      </c>
      <c r="BF25" s="6">
        <f t="shared" si="27"/>
        <v>-1</v>
      </c>
      <c r="BG25" s="6">
        <f t="shared" si="28"/>
        <v>0</v>
      </c>
      <c r="BH25" s="6">
        <f t="shared" si="29"/>
        <v>0</v>
      </c>
      <c r="BI25" s="6">
        <f t="shared" si="30"/>
        <v>0</v>
      </c>
      <c r="BJ25" s="6">
        <f t="shared" si="31"/>
        <v>0</v>
      </c>
      <c r="BK25" s="6">
        <f t="shared" si="32"/>
        <v>0</v>
      </c>
      <c r="BL25" s="6">
        <f t="shared" si="33"/>
        <v>0</v>
      </c>
      <c r="BM25" s="3">
        <f t="shared" si="34"/>
        <v>-7</v>
      </c>
      <c r="BN25" s="3"/>
      <c r="BO25" s="3"/>
    </row>
    <row r="26" spans="1:67" x14ac:dyDescent="0.25">
      <c r="A26" s="3">
        <v>20</v>
      </c>
      <c r="B26" s="235" t="s">
        <v>125</v>
      </c>
      <c r="C26" s="237"/>
      <c r="D26" s="191"/>
      <c r="E26" s="9" t="s">
        <v>299</v>
      </c>
      <c r="F26" s="9"/>
      <c r="G26" s="9"/>
      <c r="H26" s="9" t="s">
        <v>48</v>
      </c>
      <c r="I26" s="9"/>
      <c r="J26" s="9"/>
      <c r="K26" s="9"/>
      <c r="L26" s="9" t="s">
        <v>299</v>
      </c>
      <c r="M26" s="9"/>
      <c r="N26" s="9"/>
      <c r="O26" s="9"/>
      <c r="P26" s="9"/>
      <c r="Q26" s="9"/>
      <c r="R26" s="9"/>
      <c r="S26" s="9"/>
      <c r="T26" s="9"/>
      <c r="U26" s="9"/>
      <c r="V26" s="9" t="s">
        <v>48</v>
      </c>
      <c r="W26" s="45"/>
      <c r="X26" s="45"/>
      <c r="Y26" s="45"/>
      <c r="Z26" s="45"/>
      <c r="AA26" s="9"/>
      <c r="AB26" s="105">
        <f t="shared" si="2"/>
        <v>2</v>
      </c>
      <c r="AC26" s="101">
        <f t="shared" si="3"/>
        <v>0</v>
      </c>
      <c r="AD26" s="101">
        <f t="shared" si="4"/>
        <v>0</v>
      </c>
      <c r="AE26" s="101">
        <f t="shared" si="5"/>
        <v>-1</v>
      </c>
      <c r="AF26" s="101">
        <f t="shared" si="6"/>
        <v>0</v>
      </c>
      <c r="AG26" s="102">
        <f t="shared" si="7"/>
        <v>0</v>
      </c>
      <c r="AK26" s="195">
        <f t="shared" si="8"/>
        <v>2</v>
      </c>
      <c r="AN26" s="6">
        <f t="shared" si="9"/>
        <v>0</v>
      </c>
      <c r="AO26" s="6">
        <f t="shared" si="10"/>
        <v>0</v>
      </c>
      <c r="AP26" s="6">
        <f t="shared" si="11"/>
        <v>0</v>
      </c>
      <c r="AQ26" s="6">
        <f t="shared" si="12"/>
        <v>0</v>
      </c>
      <c r="AR26" s="6">
        <f t="shared" si="13"/>
        <v>0</v>
      </c>
      <c r="AS26" s="6">
        <f t="shared" si="14"/>
        <v>0</v>
      </c>
      <c r="AT26" s="6">
        <f t="shared" si="15"/>
        <v>0</v>
      </c>
      <c r="AU26" s="6">
        <f t="shared" si="16"/>
        <v>0</v>
      </c>
      <c r="AV26" s="6">
        <f t="shared" si="17"/>
        <v>0</v>
      </c>
      <c r="AW26" s="6">
        <f t="shared" si="18"/>
        <v>0</v>
      </c>
      <c r="AX26" s="6">
        <f t="shared" si="19"/>
        <v>0</v>
      </c>
      <c r="AY26" s="6">
        <f t="shared" si="20"/>
        <v>0</v>
      </c>
      <c r="AZ26" s="6">
        <f t="shared" si="21"/>
        <v>0</v>
      </c>
      <c r="BA26" s="6">
        <f t="shared" si="22"/>
        <v>0</v>
      </c>
      <c r="BB26" s="6">
        <f t="shared" si="23"/>
        <v>0</v>
      </c>
      <c r="BC26" s="6">
        <f t="shared" si="24"/>
        <v>0</v>
      </c>
      <c r="BD26" s="6">
        <f t="shared" si="25"/>
        <v>0</v>
      </c>
      <c r="BE26" s="6">
        <f t="shared" si="26"/>
        <v>0</v>
      </c>
      <c r="BF26" s="6">
        <f t="shared" si="27"/>
        <v>0</v>
      </c>
      <c r="BG26" s="6">
        <f t="shared" si="28"/>
        <v>-1</v>
      </c>
      <c r="BH26" s="6">
        <f t="shared" si="29"/>
        <v>0</v>
      </c>
      <c r="BI26" s="6">
        <f t="shared" si="30"/>
        <v>0</v>
      </c>
      <c r="BJ26" s="6">
        <f t="shared" si="31"/>
        <v>0</v>
      </c>
      <c r="BK26" s="6">
        <f t="shared" si="32"/>
        <v>0</v>
      </c>
      <c r="BL26" s="6">
        <f t="shared" si="33"/>
        <v>0</v>
      </c>
      <c r="BM26" s="3">
        <f t="shared" si="34"/>
        <v>-1</v>
      </c>
      <c r="BN26" s="3"/>
      <c r="BO26" s="3"/>
    </row>
    <row r="27" spans="1:67" x14ac:dyDescent="0.25">
      <c r="A27" s="3">
        <v>21</v>
      </c>
      <c r="B27" s="235" t="s">
        <v>124</v>
      </c>
      <c r="C27" s="237" t="s">
        <v>48</v>
      </c>
      <c r="D27" s="191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45"/>
      <c r="X27" s="45"/>
      <c r="Y27" s="45"/>
      <c r="Z27" s="45"/>
      <c r="AA27" s="9"/>
      <c r="AB27" s="105">
        <f t="shared" si="2"/>
        <v>1</v>
      </c>
      <c r="AC27" s="101">
        <f t="shared" si="3"/>
        <v>0</v>
      </c>
      <c r="AD27" s="101">
        <f t="shared" si="4"/>
        <v>0</v>
      </c>
      <c r="AE27" s="101">
        <f t="shared" si="5"/>
        <v>-1</v>
      </c>
      <c r="AF27" s="101">
        <f t="shared" si="6"/>
        <v>0</v>
      </c>
      <c r="AG27" s="102" t="e">
        <f t="shared" si="7"/>
        <v>#DIV/0!</v>
      </c>
      <c r="AK27" s="195">
        <f t="shared" si="8"/>
        <v>1</v>
      </c>
      <c r="AN27" s="6">
        <f t="shared" si="9"/>
        <v>-1</v>
      </c>
      <c r="AO27" s="6">
        <f t="shared" si="10"/>
        <v>0</v>
      </c>
      <c r="AP27" s="6">
        <f t="shared" si="11"/>
        <v>0</v>
      </c>
      <c r="AQ27" s="6">
        <f t="shared" si="12"/>
        <v>0</v>
      </c>
      <c r="AR27" s="6">
        <f t="shared" si="13"/>
        <v>0</v>
      </c>
      <c r="AS27" s="6">
        <f t="shared" si="14"/>
        <v>0</v>
      </c>
      <c r="AT27" s="6">
        <f t="shared" si="15"/>
        <v>0</v>
      </c>
      <c r="AU27" s="6">
        <f t="shared" si="16"/>
        <v>0</v>
      </c>
      <c r="AV27" s="6">
        <f t="shared" si="17"/>
        <v>0</v>
      </c>
      <c r="AW27" s="6">
        <f t="shared" si="18"/>
        <v>0</v>
      </c>
      <c r="AX27" s="6">
        <f t="shared" si="19"/>
        <v>0</v>
      </c>
      <c r="AY27" s="6">
        <f t="shared" si="20"/>
        <v>0</v>
      </c>
      <c r="AZ27" s="6">
        <f t="shared" si="21"/>
        <v>0</v>
      </c>
      <c r="BA27" s="6">
        <f t="shared" si="22"/>
        <v>0</v>
      </c>
      <c r="BB27" s="6">
        <f t="shared" si="23"/>
        <v>0</v>
      </c>
      <c r="BC27" s="6">
        <f t="shared" si="24"/>
        <v>0</v>
      </c>
      <c r="BD27" s="6">
        <f t="shared" si="25"/>
        <v>0</v>
      </c>
      <c r="BE27" s="6">
        <f t="shared" si="26"/>
        <v>0</v>
      </c>
      <c r="BF27" s="6">
        <f t="shared" si="27"/>
        <v>0</v>
      </c>
      <c r="BG27" s="6">
        <f t="shared" si="28"/>
        <v>0</v>
      </c>
      <c r="BH27" s="6">
        <f t="shared" si="29"/>
        <v>0</v>
      </c>
      <c r="BI27" s="6">
        <f t="shared" si="30"/>
        <v>0</v>
      </c>
      <c r="BJ27" s="6">
        <f t="shared" si="31"/>
        <v>0</v>
      </c>
      <c r="BK27" s="6">
        <f t="shared" si="32"/>
        <v>0</v>
      </c>
      <c r="BL27" s="6">
        <f t="shared" si="33"/>
        <v>0</v>
      </c>
      <c r="BM27" s="3">
        <f t="shared" si="34"/>
        <v>-1</v>
      </c>
      <c r="BN27" s="3"/>
      <c r="BO27" s="3"/>
    </row>
    <row r="28" spans="1:67" x14ac:dyDescent="0.25">
      <c r="A28" s="3">
        <v>22</v>
      </c>
      <c r="B28" s="235" t="s">
        <v>68</v>
      </c>
      <c r="C28" s="237"/>
      <c r="D28" s="191"/>
      <c r="E28" s="9"/>
      <c r="F28" s="9"/>
      <c r="G28" s="9"/>
      <c r="H28" s="9"/>
      <c r="I28" s="9" t="s">
        <v>52</v>
      </c>
      <c r="J28" s="9"/>
      <c r="K28" s="9"/>
      <c r="L28" s="9"/>
      <c r="M28" s="9" t="s">
        <v>52</v>
      </c>
      <c r="N28" s="9"/>
      <c r="O28" s="9"/>
      <c r="P28" s="9"/>
      <c r="Q28" s="9"/>
      <c r="R28" s="9"/>
      <c r="S28" s="9"/>
      <c r="T28" s="9"/>
      <c r="U28" s="9"/>
      <c r="V28" s="9" t="s">
        <v>48</v>
      </c>
      <c r="W28" s="45"/>
      <c r="X28" s="45" t="s">
        <v>52</v>
      </c>
      <c r="Y28" s="45"/>
      <c r="Z28" s="45"/>
      <c r="AA28" s="9"/>
      <c r="AB28" s="105">
        <f t="shared" si="2"/>
        <v>4</v>
      </c>
      <c r="AC28" s="101">
        <f t="shared" si="3"/>
        <v>0</v>
      </c>
      <c r="AD28" s="101">
        <f t="shared" si="4"/>
        <v>0</v>
      </c>
      <c r="AE28" s="101">
        <f t="shared" si="5"/>
        <v>-1</v>
      </c>
      <c r="AF28" s="101">
        <f t="shared" si="6"/>
        <v>3</v>
      </c>
      <c r="AG28" s="102" t="e">
        <f t="shared" si="7"/>
        <v>#DIV/0!</v>
      </c>
      <c r="AK28" s="195">
        <f t="shared" si="8"/>
        <v>1</v>
      </c>
      <c r="AN28" s="6">
        <f t="shared" si="9"/>
        <v>0</v>
      </c>
      <c r="AO28" s="6">
        <f t="shared" si="10"/>
        <v>0</v>
      </c>
      <c r="AP28" s="6">
        <f t="shared" si="11"/>
        <v>0</v>
      </c>
      <c r="AQ28" s="6">
        <f t="shared" si="12"/>
        <v>0</v>
      </c>
      <c r="AR28" s="6">
        <f t="shared" si="13"/>
        <v>0</v>
      </c>
      <c r="AS28" s="6">
        <f t="shared" si="14"/>
        <v>0</v>
      </c>
      <c r="AT28" s="6">
        <f t="shared" si="15"/>
        <v>0</v>
      </c>
      <c r="AU28" s="6">
        <f t="shared" si="16"/>
        <v>0</v>
      </c>
      <c r="AV28" s="6">
        <f t="shared" si="17"/>
        <v>0</v>
      </c>
      <c r="AW28" s="6">
        <f t="shared" si="18"/>
        <v>0</v>
      </c>
      <c r="AX28" s="6">
        <f t="shared" si="19"/>
        <v>0</v>
      </c>
      <c r="AY28" s="6">
        <f t="shared" si="20"/>
        <v>0</v>
      </c>
      <c r="AZ28" s="6">
        <f t="shared" si="21"/>
        <v>0</v>
      </c>
      <c r="BA28" s="6">
        <f t="shared" si="22"/>
        <v>0</v>
      </c>
      <c r="BB28" s="6">
        <f t="shared" si="23"/>
        <v>0</v>
      </c>
      <c r="BC28" s="6">
        <f t="shared" si="24"/>
        <v>0</v>
      </c>
      <c r="BD28" s="6">
        <f t="shared" si="25"/>
        <v>0</v>
      </c>
      <c r="BE28" s="6">
        <f t="shared" si="26"/>
        <v>0</v>
      </c>
      <c r="BF28" s="6">
        <f t="shared" si="27"/>
        <v>0</v>
      </c>
      <c r="BG28" s="6">
        <f t="shared" si="28"/>
        <v>-1</v>
      </c>
      <c r="BH28" s="6">
        <f t="shared" si="29"/>
        <v>0</v>
      </c>
      <c r="BI28" s="6">
        <f t="shared" si="30"/>
        <v>0</v>
      </c>
      <c r="BJ28" s="6">
        <f t="shared" si="31"/>
        <v>0</v>
      </c>
      <c r="BK28" s="6">
        <f t="shared" si="32"/>
        <v>0</v>
      </c>
      <c r="BL28" s="6">
        <f t="shared" si="33"/>
        <v>0</v>
      </c>
      <c r="BM28" s="3">
        <f t="shared" ref="BM28:BM37" si="35">SUM(AN28:BL28)</f>
        <v>-1</v>
      </c>
      <c r="BN28" s="3"/>
      <c r="BO28" s="3"/>
    </row>
    <row r="29" spans="1:67" x14ac:dyDescent="0.25">
      <c r="A29" s="3">
        <v>23</v>
      </c>
      <c r="B29" s="236" t="s">
        <v>73</v>
      </c>
      <c r="C29" s="237"/>
      <c r="D29" s="191"/>
      <c r="E29" s="9" t="s">
        <v>74</v>
      </c>
      <c r="F29" s="9"/>
      <c r="G29" s="9" t="s">
        <v>74</v>
      </c>
      <c r="H29" s="9" t="s">
        <v>74</v>
      </c>
      <c r="I29" s="9" t="s">
        <v>74</v>
      </c>
      <c r="J29" s="9" t="s">
        <v>74</v>
      </c>
      <c r="K29" s="251" t="s">
        <v>74</v>
      </c>
      <c r="L29" s="9" t="s">
        <v>74</v>
      </c>
      <c r="M29" s="9" t="s">
        <v>74</v>
      </c>
      <c r="N29" s="9"/>
      <c r="O29" s="9"/>
      <c r="P29" s="9"/>
      <c r="Q29" s="9"/>
      <c r="R29" s="9"/>
      <c r="S29" s="9"/>
      <c r="T29" s="9"/>
      <c r="U29" s="9"/>
      <c r="V29" s="9"/>
      <c r="W29" s="45"/>
      <c r="X29" s="45"/>
      <c r="Y29" s="45"/>
      <c r="Z29" s="45"/>
      <c r="AA29" s="9"/>
      <c r="AB29" s="105">
        <f t="shared" si="2"/>
        <v>8</v>
      </c>
      <c r="AC29" s="101">
        <f t="shared" si="3"/>
        <v>0</v>
      </c>
      <c r="AD29" s="101">
        <f t="shared" si="4"/>
        <v>8</v>
      </c>
      <c r="AE29" s="101">
        <f t="shared" si="5"/>
        <v>0</v>
      </c>
      <c r="AF29" s="101">
        <f t="shared" si="6"/>
        <v>0</v>
      </c>
      <c r="AG29" s="102" t="e">
        <f t="shared" si="7"/>
        <v>#DIV/0!</v>
      </c>
      <c r="AK29" s="195">
        <f t="shared" si="8"/>
        <v>8</v>
      </c>
      <c r="AN29" s="6">
        <f t="shared" si="9"/>
        <v>0</v>
      </c>
      <c r="AO29" s="6">
        <f t="shared" si="10"/>
        <v>0</v>
      </c>
      <c r="AP29" s="6">
        <f t="shared" si="11"/>
        <v>0</v>
      </c>
      <c r="AQ29" s="6">
        <f t="shared" si="12"/>
        <v>0</v>
      </c>
      <c r="AR29" s="6">
        <f t="shared" si="13"/>
        <v>0</v>
      </c>
      <c r="AS29" s="6">
        <f t="shared" si="14"/>
        <v>0</v>
      </c>
      <c r="AT29" s="6">
        <f t="shared" si="15"/>
        <v>0</v>
      </c>
      <c r="AU29" s="6">
        <f t="shared" si="16"/>
        <v>0</v>
      </c>
      <c r="AV29" s="6">
        <f t="shared" si="17"/>
        <v>0</v>
      </c>
      <c r="AW29" s="6">
        <f t="shared" si="18"/>
        <v>0</v>
      </c>
      <c r="AX29" s="6">
        <f t="shared" si="19"/>
        <v>0</v>
      </c>
      <c r="AY29" s="6">
        <f t="shared" si="20"/>
        <v>0</v>
      </c>
      <c r="AZ29" s="6">
        <f t="shared" si="21"/>
        <v>0</v>
      </c>
      <c r="BA29" s="6">
        <f t="shared" si="22"/>
        <v>0</v>
      </c>
      <c r="BB29" s="6">
        <f t="shared" si="23"/>
        <v>0</v>
      </c>
      <c r="BC29" s="6">
        <f t="shared" si="24"/>
        <v>0</v>
      </c>
      <c r="BD29" s="6">
        <f t="shared" si="25"/>
        <v>0</v>
      </c>
      <c r="BE29" s="6">
        <f t="shared" si="26"/>
        <v>0</v>
      </c>
      <c r="BF29" s="6">
        <f t="shared" si="27"/>
        <v>0</v>
      </c>
      <c r="BG29" s="6">
        <f t="shared" si="28"/>
        <v>0</v>
      </c>
      <c r="BH29" s="6">
        <f t="shared" si="29"/>
        <v>0</v>
      </c>
      <c r="BI29" s="6">
        <f t="shared" si="30"/>
        <v>0</v>
      </c>
      <c r="BJ29" s="6">
        <f t="shared" si="31"/>
        <v>0</v>
      </c>
      <c r="BK29" s="6">
        <f t="shared" si="32"/>
        <v>0</v>
      </c>
      <c r="BL29" s="6">
        <f t="shared" si="33"/>
        <v>0</v>
      </c>
      <c r="BM29" s="3">
        <f t="shared" si="35"/>
        <v>0</v>
      </c>
      <c r="BN29" s="3"/>
      <c r="BO29" s="3"/>
    </row>
    <row r="30" spans="1:67" x14ac:dyDescent="0.25">
      <c r="A30" s="3">
        <v>24</v>
      </c>
      <c r="B30" s="236" t="s">
        <v>75</v>
      </c>
      <c r="C30" s="237"/>
      <c r="D30" s="191"/>
      <c r="E30" s="9"/>
      <c r="F30" s="9"/>
      <c r="G30" s="9" t="s">
        <v>52</v>
      </c>
      <c r="H30" s="9"/>
      <c r="I30" s="9"/>
      <c r="J30" s="9"/>
      <c r="K30" s="9" t="s">
        <v>52</v>
      </c>
      <c r="L30" s="9"/>
      <c r="M30" s="9"/>
      <c r="N30" s="9"/>
      <c r="O30" s="9" t="s">
        <v>74</v>
      </c>
      <c r="P30" s="9" t="s">
        <v>74</v>
      </c>
      <c r="Q30" s="9" t="s">
        <v>74</v>
      </c>
      <c r="R30" s="9" t="s">
        <v>74</v>
      </c>
      <c r="S30" s="9"/>
      <c r="T30" s="9"/>
      <c r="U30" s="9" t="s">
        <v>74</v>
      </c>
      <c r="V30" s="9"/>
      <c r="W30" s="45"/>
      <c r="X30" s="45"/>
      <c r="Y30" s="45" t="s">
        <v>74</v>
      </c>
      <c r="Z30" s="45"/>
      <c r="AA30" s="9"/>
      <c r="AB30" s="105">
        <f t="shared" si="2"/>
        <v>8</v>
      </c>
      <c r="AC30" s="101">
        <f t="shared" si="3"/>
        <v>0</v>
      </c>
      <c r="AD30" s="101">
        <f t="shared" si="4"/>
        <v>6</v>
      </c>
      <c r="AE30" s="101">
        <f t="shared" si="5"/>
        <v>0</v>
      </c>
      <c r="AF30" s="101">
        <f t="shared" si="6"/>
        <v>2</v>
      </c>
      <c r="AG30" s="102" t="e">
        <f t="shared" si="7"/>
        <v>#DIV/0!</v>
      </c>
      <c r="AH30" s="6"/>
      <c r="AI30" s="6"/>
      <c r="AK30" s="195">
        <f t="shared" si="8"/>
        <v>6</v>
      </c>
      <c r="AN30" s="6">
        <f t="shared" si="9"/>
        <v>0</v>
      </c>
      <c r="AO30" s="6">
        <f t="shared" si="10"/>
        <v>0</v>
      </c>
      <c r="AP30" s="6">
        <f t="shared" si="11"/>
        <v>0</v>
      </c>
      <c r="AQ30" s="6">
        <f t="shared" si="12"/>
        <v>0</v>
      </c>
      <c r="AR30" s="6">
        <f t="shared" si="13"/>
        <v>0</v>
      </c>
      <c r="AS30" s="6">
        <f t="shared" si="14"/>
        <v>0</v>
      </c>
      <c r="AT30" s="6">
        <f t="shared" si="15"/>
        <v>0</v>
      </c>
      <c r="AU30" s="6">
        <f t="shared" si="16"/>
        <v>0</v>
      </c>
      <c r="AV30" s="6">
        <f t="shared" si="17"/>
        <v>0</v>
      </c>
      <c r="AW30" s="6">
        <f t="shared" si="18"/>
        <v>0</v>
      </c>
      <c r="AX30" s="6">
        <f t="shared" si="19"/>
        <v>0</v>
      </c>
      <c r="AY30" s="6">
        <f t="shared" si="20"/>
        <v>0</v>
      </c>
      <c r="AZ30" s="6">
        <f t="shared" si="21"/>
        <v>0</v>
      </c>
      <c r="BA30" s="6">
        <f t="shared" si="22"/>
        <v>0</v>
      </c>
      <c r="BB30" s="6">
        <f t="shared" si="23"/>
        <v>0</v>
      </c>
      <c r="BC30" s="6">
        <f t="shared" si="24"/>
        <v>0</v>
      </c>
      <c r="BD30" s="6">
        <f t="shared" si="25"/>
        <v>0</v>
      </c>
      <c r="BE30" s="6">
        <f t="shared" si="26"/>
        <v>0</v>
      </c>
      <c r="BF30" s="6">
        <f t="shared" si="27"/>
        <v>0</v>
      </c>
      <c r="BG30" s="6">
        <f t="shared" si="28"/>
        <v>0</v>
      </c>
      <c r="BH30" s="6">
        <f t="shared" si="29"/>
        <v>0</v>
      </c>
      <c r="BI30" s="6">
        <f t="shared" si="30"/>
        <v>0</v>
      </c>
      <c r="BJ30" s="6">
        <f t="shared" si="31"/>
        <v>0</v>
      </c>
      <c r="BK30" s="6">
        <f t="shared" si="32"/>
        <v>0</v>
      </c>
      <c r="BL30" s="6">
        <f t="shared" si="33"/>
        <v>0</v>
      </c>
      <c r="BM30" s="3">
        <f t="shared" si="35"/>
        <v>0</v>
      </c>
      <c r="BN30" s="3"/>
      <c r="BO30" s="3"/>
    </row>
    <row r="31" spans="1:67" x14ac:dyDescent="0.25">
      <c r="A31" s="3">
        <v>25</v>
      </c>
      <c r="B31" s="235" t="s">
        <v>77</v>
      </c>
      <c r="C31" s="237"/>
      <c r="D31" s="191"/>
      <c r="E31" s="9"/>
      <c r="F31" s="9" t="s">
        <v>74</v>
      </c>
      <c r="G31" s="9"/>
      <c r="H31" s="9" t="s">
        <v>48</v>
      </c>
      <c r="I31" s="9"/>
      <c r="J31" s="9"/>
      <c r="K31" s="9"/>
      <c r="L31" s="9"/>
      <c r="M31" s="9"/>
      <c r="N31" s="9" t="s">
        <v>74</v>
      </c>
      <c r="O31" s="9"/>
      <c r="P31" s="9"/>
      <c r="Q31" s="9"/>
      <c r="R31" s="9"/>
      <c r="S31" s="9" t="s">
        <v>74</v>
      </c>
      <c r="T31" s="9" t="s">
        <v>74</v>
      </c>
      <c r="U31" s="9"/>
      <c r="V31" s="9"/>
      <c r="W31" s="45" t="s">
        <v>74</v>
      </c>
      <c r="X31" s="45" t="s">
        <v>74</v>
      </c>
      <c r="Y31" s="45"/>
      <c r="Z31" s="45" t="s">
        <v>74</v>
      </c>
      <c r="AA31" s="9"/>
      <c r="AB31" s="105">
        <f t="shared" si="2"/>
        <v>8</v>
      </c>
      <c r="AC31" s="101">
        <f t="shared" si="3"/>
        <v>0</v>
      </c>
      <c r="AD31" s="101">
        <f t="shared" si="4"/>
        <v>7</v>
      </c>
      <c r="AE31" s="101">
        <f t="shared" si="5"/>
        <v>0</v>
      </c>
      <c r="AF31" s="101">
        <f t="shared" si="6"/>
        <v>0</v>
      </c>
      <c r="AG31" s="102">
        <f t="shared" si="7"/>
        <v>0</v>
      </c>
      <c r="AH31" s="6"/>
      <c r="AI31" s="6"/>
      <c r="AK31" s="195">
        <f t="shared" si="8"/>
        <v>8</v>
      </c>
      <c r="AN31" s="6">
        <f t="shared" si="9"/>
        <v>0</v>
      </c>
      <c r="AO31" s="6">
        <f t="shared" si="10"/>
        <v>0</v>
      </c>
      <c r="AP31" s="6">
        <f t="shared" si="11"/>
        <v>0</v>
      </c>
      <c r="AQ31" s="6">
        <f t="shared" si="12"/>
        <v>0</v>
      </c>
      <c r="AR31" s="6">
        <f t="shared" si="13"/>
        <v>0</v>
      </c>
      <c r="AS31" s="6">
        <f t="shared" si="14"/>
        <v>0</v>
      </c>
      <c r="AT31" s="6">
        <f t="shared" si="15"/>
        <v>0</v>
      </c>
      <c r="AU31" s="6">
        <f t="shared" si="16"/>
        <v>0</v>
      </c>
      <c r="AV31" s="6">
        <f t="shared" si="17"/>
        <v>0</v>
      </c>
      <c r="AW31" s="6">
        <f t="shared" si="18"/>
        <v>0</v>
      </c>
      <c r="AX31" s="6">
        <f t="shared" si="19"/>
        <v>0</v>
      </c>
      <c r="AY31" s="6">
        <f t="shared" si="20"/>
        <v>0</v>
      </c>
      <c r="AZ31" s="6">
        <f t="shared" si="21"/>
        <v>0</v>
      </c>
      <c r="BA31" s="6">
        <f t="shared" si="22"/>
        <v>0</v>
      </c>
      <c r="BB31" s="6">
        <f t="shared" si="23"/>
        <v>0</v>
      </c>
      <c r="BC31" s="6">
        <f t="shared" si="24"/>
        <v>0</v>
      </c>
      <c r="BD31" s="6">
        <f t="shared" si="25"/>
        <v>0</v>
      </c>
      <c r="BE31" s="6">
        <f t="shared" si="26"/>
        <v>0</v>
      </c>
      <c r="BF31" s="6">
        <f t="shared" si="27"/>
        <v>0</v>
      </c>
      <c r="BG31" s="6">
        <f t="shared" si="28"/>
        <v>0</v>
      </c>
      <c r="BH31" s="6">
        <f t="shared" si="29"/>
        <v>0</v>
      </c>
      <c r="BI31" s="6">
        <f t="shared" si="30"/>
        <v>0</v>
      </c>
      <c r="BJ31" s="6">
        <f t="shared" si="31"/>
        <v>0</v>
      </c>
      <c r="BK31" s="6">
        <f t="shared" si="32"/>
        <v>0</v>
      </c>
      <c r="BL31" s="6">
        <f t="shared" si="33"/>
        <v>0</v>
      </c>
      <c r="BM31" s="3">
        <f t="shared" si="35"/>
        <v>0</v>
      </c>
      <c r="BN31" s="3"/>
      <c r="BO31" s="3"/>
    </row>
    <row r="32" spans="1:67" x14ac:dyDescent="0.25">
      <c r="A32" s="3">
        <v>26</v>
      </c>
      <c r="B32" s="153" t="s">
        <v>78</v>
      </c>
      <c r="C32" s="9"/>
      <c r="D32" s="191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 t="s">
        <v>48</v>
      </c>
      <c r="W32" s="45"/>
      <c r="X32" s="45"/>
      <c r="Y32" s="45"/>
      <c r="Z32" s="45"/>
      <c r="AA32" s="9"/>
      <c r="AB32" s="105">
        <f t="shared" si="2"/>
        <v>1</v>
      </c>
      <c r="AC32" s="101">
        <f t="shared" si="3"/>
        <v>0</v>
      </c>
      <c r="AD32" s="101">
        <f t="shared" si="4"/>
        <v>0</v>
      </c>
      <c r="AE32" s="101">
        <f t="shared" si="5"/>
        <v>-1</v>
      </c>
      <c r="AF32" s="101">
        <f t="shared" si="6"/>
        <v>0</v>
      </c>
      <c r="AG32" s="102" t="e">
        <f t="shared" si="7"/>
        <v>#DIV/0!</v>
      </c>
      <c r="AK32" s="195">
        <f t="shared" si="8"/>
        <v>1</v>
      </c>
      <c r="AN32" s="6">
        <f t="shared" si="9"/>
        <v>0</v>
      </c>
      <c r="AO32" s="6">
        <f t="shared" si="10"/>
        <v>0</v>
      </c>
      <c r="AP32" s="6">
        <f t="shared" si="11"/>
        <v>0</v>
      </c>
      <c r="AQ32" s="6">
        <f t="shared" si="12"/>
        <v>0</v>
      </c>
      <c r="AR32" s="6">
        <f t="shared" si="13"/>
        <v>0</v>
      </c>
      <c r="AS32" s="6">
        <f t="shared" si="14"/>
        <v>0</v>
      </c>
      <c r="AT32" s="6">
        <f t="shared" si="15"/>
        <v>0</v>
      </c>
      <c r="AU32" s="6">
        <f t="shared" si="16"/>
        <v>0</v>
      </c>
      <c r="AV32" s="6">
        <f t="shared" si="17"/>
        <v>0</v>
      </c>
      <c r="AW32" s="6">
        <f t="shared" si="18"/>
        <v>0</v>
      </c>
      <c r="AX32" s="6">
        <f t="shared" si="19"/>
        <v>0</v>
      </c>
      <c r="AY32" s="6">
        <f t="shared" si="20"/>
        <v>0</v>
      </c>
      <c r="AZ32" s="6">
        <f t="shared" si="21"/>
        <v>0</v>
      </c>
      <c r="BA32" s="6">
        <f t="shared" si="22"/>
        <v>0</v>
      </c>
      <c r="BB32" s="6">
        <f t="shared" si="23"/>
        <v>0</v>
      </c>
      <c r="BC32" s="6">
        <f t="shared" si="24"/>
        <v>0</v>
      </c>
      <c r="BD32" s="6">
        <f t="shared" si="25"/>
        <v>0</v>
      </c>
      <c r="BE32" s="6">
        <f t="shared" si="26"/>
        <v>0</v>
      </c>
      <c r="BF32" s="6">
        <f t="shared" si="27"/>
        <v>0</v>
      </c>
      <c r="BG32" s="6">
        <f t="shared" si="28"/>
        <v>-1</v>
      </c>
      <c r="BH32" s="6">
        <f t="shared" si="29"/>
        <v>0</v>
      </c>
      <c r="BI32" s="6">
        <f t="shared" si="30"/>
        <v>0</v>
      </c>
      <c r="BJ32" s="6">
        <f t="shared" si="31"/>
        <v>0</v>
      </c>
      <c r="BK32" s="6">
        <f t="shared" si="32"/>
        <v>0</v>
      </c>
      <c r="BL32" s="6">
        <f t="shared" si="33"/>
        <v>0</v>
      </c>
      <c r="BM32" s="3">
        <f t="shared" si="35"/>
        <v>-1</v>
      </c>
      <c r="BN32" s="3"/>
      <c r="BO32" s="3"/>
    </row>
    <row r="33" spans="1:67" x14ac:dyDescent="0.25">
      <c r="A33" s="3">
        <v>27</v>
      </c>
      <c r="B33" s="8" t="s">
        <v>131</v>
      </c>
      <c r="C33" s="9"/>
      <c r="D33" s="191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45"/>
      <c r="X33" s="45"/>
      <c r="Y33" s="45"/>
      <c r="Z33" s="45"/>
      <c r="AA33" s="9"/>
      <c r="AB33" s="105">
        <f t="shared" si="2"/>
        <v>0</v>
      </c>
      <c r="AC33" s="101">
        <f t="shared" si="3"/>
        <v>0</v>
      </c>
      <c r="AD33" s="101">
        <f t="shared" si="4"/>
        <v>0</v>
      </c>
      <c r="AE33" s="101">
        <f t="shared" si="5"/>
        <v>0</v>
      </c>
      <c r="AF33" s="101">
        <f t="shared" si="6"/>
        <v>0</v>
      </c>
      <c r="AG33" s="102" t="e">
        <f t="shared" si="7"/>
        <v>#DIV/0!</v>
      </c>
      <c r="AH33" s="6"/>
      <c r="AI33" s="6"/>
      <c r="AK33" s="195">
        <f t="shared" si="8"/>
        <v>0</v>
      </c>
      <c r="AN33" s="6">
        <f t="shared" si="9"/>
        <v>0</v>
      </c>
      <c r="AO33" s="6">
        <f t="shared" si="10"/>
        <v>0</v>
      </c>
      <c r="AP33" s="6">
        <f t="shared" si="11"/>
        <v>0</v>
      </c>
      <c r="AQ33" s="6">
        <f t="shared" si="12"/>
        <v>0</v>
      </c>
      <c r="AR33" s="6">
        <f t="shared" si="13"/>
        <v>0</v>
      </c>
      <c r="AS33" s="6">
        <f t="shared" si="14"/>
        <v>0</v>
      </c>
      <c r="AT33" s="6">
        <f t="shared" si="15"/>
        <v>0</v>
      </c>
      <c r="AU33" s="6">
        <f t="shared" si="16"/>
        <v>0</v>
      </c>
      <c r="AV33" s="6">
        <f t="shared" si="17"/>
        <v>0</v>
      </c>
      <c r="AW33" s="6">
        <f t="shared" si="18"/>
        <v>0</v>
      </c>
      <c r="AX33" s="6">
        <f t="shared" si="19"/>
        <v>0</v>
      </c>
      <c r="AY33" s="6">
        <f t="shared" si="20"/>
        <v>0</v>
      </c>
      <c r="AZ33" s="6">
        <f t="shared" si="21"/>
        <v>0</v>
      </c>
      <c r="BA33" s="6">
        <f t="shared" si="22"/>
        <v>0</v>
      </c>
      <c r="BB33" s="6">
        <f t="shared" si="23"/>
        <v>0</v>
      </c>
      <c r="BC33" s="6">
        <f t="shared" si="24"/>
        <v>0</v>
      </c>
      <c r="BD33" s="6">
        <f t="shared" si="25"/>
        <v>0</v>
      </c>
      <c r="BE33" s="6">
        <f t="shared" si="26"/>
        <v>0</v>
      </c>
      <c r="BF33" s="6">
        <f t="shared" si="27"/>
        <v>0</v>
      </c>
      <c r="BG33" s="6">
        <f t="shared" si="28"/>
        <v>0</v>
      </c>
      <c r="BH33" s="6">
        <f t="shared" si="29"/>
        <v>0</v>
      </c>
      <c r="BI33" s="6">
        <f t="shared" si="30"/>
        <v>0</v>
      </c>
      <c r="BJ33" s="6">
        <f t="shared" si="31"/>
        <v>0</v>
      </c>
      <c r="BK33" s="6">
        <f t="shared" si="32"/>
        <v>0</v>
      </c>
      <c r="BL33" s="6">
        <f t="shared" si="33"/>
        <v>0</v>
      </c>
      <c r="BM33" s="3">
        <f t="shared" si="35"/>
        <v>0</v>
      </c>
      <c r="BN33" s="3"/>
      <c r="BO33" s="3"/>
    </row>
    <row r="34" spans="1:67" x14ac:dyDescent="0.25">
      <c r="A34" s="3">
        <v>28</v>
      </c>
      <c r="B34" s="8" t="s">
        <v>79</v>
      </c>
      <c r="C34" s="9"/>
      <c r="D34" s="191"/>
      <c r="E34" s="9"/>
      <c r="F34" s="9"/>
      <c r="G34" s="9"/>
      <c r="H34" s="9"/>
      <c r="I34" s="9"/>
      <c r="J34" s="9" t="s">
        <v>299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45"/>
      <c r="X34" s="45"/>
      <c r="Y34" s="45"/>
      <c r="Z34" s="45"/>
      <c r="AA34" s="9"/>
      <c r="AB34" s="105">
        <f t="shared" si="2"/>
        <v>0</v>
      </c>
      <c r="AC34" s="101">
        <f t="shared" si="3"/>
        <v>0</v>
      </c>
      <c r="AD34" s="101">
        <f t="shared" si="4"/>
        <v>0</v>
      </c>
      <c r="AE34" s="101">
        <f t="shared" si="5"/>
        <v>0</v>
      </c>
      <c r="AF34" s="101">
        <f t="shared" si="6"/>
        <v>0</v>
      </c>
      <c r="AG34" s="102" t="e">
        <f t="shared" si="7"/>
        <v>#DIV/0!</v>
      </c>
      <c r="AH34" s="6"/>
      <c r="AI34" s="6"/>
      <c r="AK34" s="195">
        <f t="shared" si="8"/>
        <v>0</v>
      </c>
      <c r="AN34" s="6">
        <f t="shared" si="9"/>
        <v>0</v>
      </c>
      <c r="AO34" s="6">
        <f t="shared" si="10"/>
        <v>0</v>
      </c>
      <c r="AP34" s="6">
        <f t="shared" si="11"/>
        <v>0</v>
      </c>
      <c r="AQ34" s="6">
        <f t="shared" si="12"/>
        <v>0</v>
      </c>
      <c r="AR34" s="6">
        <f t="shared" si="13"/>
        <v>0</v>
      </c>
      <c r="AS34" s="6">
        <f t="shared" si="14"/>
        <v>0</v>
      </c>
      <c r="AT34" s="6">
        <f t="shared" si="15"/>
        <v>0</v>
      </c>
      <c r="AU34" s="6">
        <f t="shared" si="16"/>
        <v>0</v>
      </c>
      <c r="AV34" s="6">
        <f t="shared" si="17"/>
        <v>0</v>
      </c>
      <c r="AW34" s="6">
        <f t="shared" si="18"/>
        <v>0</v>
      </c>
      <c r="AX34" s="6">
        <f t="shared" si="19"/>
        <v>0</v>
      </c>
      <c r="AY34" s="6">
        <f t="shared" si="20"/>
        <v>0</v>
      </c>
      <c r="AZ34" s="6">
        <f t="shared" si="21"/>
        <v>0</v>
      </c>
      <c r="BA34" s="6">
        <f t="shared" si="22"/>
        <v>0</v>
      </c>
      <c r="BB34" s="6">
        <f t="shared" si="23"/>
        <v>0</v>
      </c>
      <c r="BC34" s="6">
        <f t="shared" si="24"/>
        <v>0</v>
      </c>
      <c r="BD34" s="6">
        <f t="shared" si="25"/>
        <v>0</v>
      </c>
      <c r="BE34" s="6">
        <f t="shared" si="26"/>
        <v>0</v>
      </c>
      <c r="BF34" s="6">
        <f t="shared" si="27"/>
        <v>0</v>
      </c>
      <c r="BG34" s="6">
        <f t="shared" si="28"/>
        <v>0</v>
      </c>
      <c r="BH34" s="6">
        <f t="shared" si="29"/>
        <v>0</v>
      </c>
      <c r="BI34" s="6">
        <f t="shared" si="30"/>
        <v>0</v>
      </c>
      <c r="BJ34" s="6">
        <f t="shared" si="31"/>
        <v>0</v>
      </c>
      <c r="BK34" s="6">
        <f t="shared" si="32"/>
        <v>0</v>
      </c>
      <c r="BL34" s="6">
        <f t="shared" si="33"/>
        <v>0</v>
      </c>
      <c r="BM34" s="3">
        <f t="shared" ref="BM34:BM35" si="36">SUM(AN34:BL34)</f>
        <v>0</v>
      </c>
      <c r="BN34" s="3"/>
      <c r="BO34" s="3"/>
    </row>
    <row r="35" spans="1:67" x14ac:dyDescent="0.25">
      <c r="A35" s="3">
        <v>29</v>
      </c>
      <c r="B35" s="8" t="s">
        <v>47</v>
      </c>
      <c r="C35" s="9"/>
      <c r="D35" s="191"/>
      <c r="E35" s="9"/>
      <c r="F35" s="9"/>
      <c r="G35" s="9"/>
      <c r="H35" s="9"/>
      <c r="I35" s="9"/>
      <c r="J35" s="9"/>
      <c r="K35" s="9" t="s">
        <v>48</v>
      </c>
      <c r="L35" s="9"/>
      <c r="M35" s="9"/>
      <c r="N35" s="9"/>
      <c r="O35" s="9"/>
      <c r="P35" s="9"/>
      <c r="Q35" s="9"/>
      <c r="R35" s="9"/>
      <c r="S35" s="9"/>
      <c r="T35" s="9"/>
      <c r="U35" s="9" t="s">
        <v>48</v>
      </c>
      <c r="V35" s="9"/>
      <c r="W35" s="45"/>
      <c r="X35" s="45"/>
      <c r="Y35" s="45"/>
      <c r="Z35" s="45" t="s">
        <v>48</v>
      </c>
      <c r="AA35" s="9"/>
      <c r="AB35" s="105">
        <f t="shared" si="2"/>
        <v>3</v>
      </c>
      <c r="AC35" s="101">
        <f t="shared" si="3"/>
        <v>0</v>
      </c>
      <c r="AD35" s="101">
        <f t="shared" si="4"/>
        <v>0</v>
      </c>
      <c r="AE35" s="101">
        <f t="shared" si="5"/>
        <v>-2</v>
      </c>
      <c r="AF35" s="101">
        <f t="shared" si="6"/>
        <v>0</v>
      </c>
      <c r="AG35" s="102">
        <f t="shared" si="7"/>
        <v>0</v>
      </c>
      <c r="AH35" s="6"/>
      <c r="AI35" s="6"/>
      <c r="AK35" s="195">
        <f t="shared" si="8"/>
        <v>3</v>
      </c>
      <c r="AN35" s="6">
        <f t="shared" si="9"/>
        <v>0</v>
      </c>
      <c r="AO35" s="6">
        <f t="shared" si="10"/>
        <v>0</v>
      </c>
      <c r="AP35" s="6">
        <f t="shared" si="11"/>
        <v>0</v>
      </c>
      <c r="AQ35" s="6">
        <f t="shared" si="12"/>
        <v>0</v>
      </c>
      <c r="AR35" s="6">
        <f t="shared" si="13"/>
        <v>0</v>
      </c>
      <c r="AS35" s="6">
        <f t="shared" si="14"/>
        <v>0</v>
      </c>
      <c r="AT35" s="6">
        <f t="shared" si="15"/>
        <v>0</v>
      </c>
      <c r="AU35" s="6">
        <f t="shared" si="16"/>
        <v>0</v>
      </c>
      <c r="AV35" s="6">
        <f t="shared" si="17"/>
        <v>-1</v>
      </c>
      <c r="AW35" s="6">
        <f t="shared" si="18"/>
        <v>0</v>
      </c>
      <c r="AX35" s="6">
        <f t="shared" si="19"/>
        <v>0</v>
      </c>
      <c r="AY35" s="6">
        <f t="shared" si="20"/>
        <v>0</v>
      </c>
      <c r="AZ35" s="6">
        <f t="shared" si="21"/>
        <v>0</v>
      </c>
      <c r="BA35" s="6">
        <f t="shared" si="22"/>
        <v>0</v>
      </c>
      <c r="BB35" s="6">
        <f t="shared" si="23"/>
        <v>-1</v>
      </c>
      <c r="BC35" s="6">
        <f t="shared" si="24"/>
        <v>0</v>
      </c>
      <c r="BD35" s="6">
        <f t="shared" si="25"/>
        <v>0</v>
      </c>
      <c r="BE35" s="6">
        <f t="shared" si="26"/>
        <v>0</v>
      </c>
      <c r="BF35" s="6">
        <f t="shared" si="27"/>
        <v>0</v>
      </c>
      <c r="BG35" s="6">
        <f t="shared" si="28"/>
        <v>0</v>
      </c>
      <c r="BH35" s="6">
        <f t="shared" si="29"/>
        <v>0</v>
      </c>
      <c r="BI35" s="6">
        <f t="shared" si="30"/>
        <v>0</v>
      </c>
      <c r="BJ35" s="6">
        <f t="shared" si="31"/>
        <v>0</v>
      </c>
      <c r="BK35" s="6">
        <f t="shared" si="32"/>
        <v>0</v>
      </c>
      <c r="BL35" s="6">
        <f t="shared" si="33"/>
        <v>0</v>
      </c>
      <c r="BM35" s="3">
        <f t="shared" si="36"/>
        <v>-2</v>
      </c>
      <c r="BN35" s="3"/>
      <c r="BO35" s="3"/>
    </row>
    <row r="36" spans="1:67" x14ac:dyDescent="0.25">
      <c r="A36" s="3">
        <v>30</v>
      </c>
      <c r="B36" s="8" t="s">
        <v>129</v>
      </c>
      <c r="C36" s="9"/>
      <c r="D36" s="191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45"/>
      <c r="X36" s="45"/>
      <c r="Y36" s="45"/>
      <c r="Z36" s="45"/>
      <c r="AA36" s="9"/>
      <c r="AB36" s="105">
        <f t="shared" si="2"/>
        <v>0</v>
      </c>
      <c r="AC36" s="101">
        <f t="shared" si="3"/>
        <v>0</v>
      </c>
      <c r="AD36" s="101">
        <f t="shared" si="4"/>
        <v>0</v>
      </c>
      <c r="AE36" s="101">
        <f t="shared" si="5"/>
        <v>0</v>
      </c>
      <c r="AF36" s="101">
        <f t="shared" si="6"/>
        <v>0</v>
      </c>
      <c r="AG36" s="102" t="e">
        <f t="shared" si="7"/>
        <v>#DIV/0!</v>
      </c>
      <c r="AH36" s="6"/>
      <c r="AI36" s="6"/>
      <c r="AK36" s="195">
        <f t="shared" si="8"/>
        <v>0</v>
      </c>
      <c r="AN36" s="6">
        <f t="shared" si="9"/>
        <v>0</v>
      </c>
      <c r="AO36" s="6">
        <f t="shared" si="10"/>
        <v>0</v>
      </c>
      <c r="AP36" s="6">
        <f t="shared" si="11"/>
        <v>0</v>
      </c>
      <c r="AQ36" s="6">
        <f t="shared" si="12"/>
        <v>0</v>
      </c>
      <c r="AR36" s="6">
        <f t="shared" si="13"/>
        <v>0</v>
      </c>
      <c r="AS36" s="6">
        <f t="shared" si="14"/>
        <v>0</v>
      </c>
      <c r="AT36" s="6">
        <f t="shared" si="15"/>
        <v>0</v>
      </c>
      <c r="AU36" s="6">
        <f t="shared" si="16"/>
        <v>0</v>
      </c>
      <c r="AV36" s="6">
        <f t="shared" si="17"/>
        <v>0</v>
      </c>
      <c r="AW36" s="6">
        <f t="shared" si="18"/>
        <v>0</v>
      </c>
      <c r="AX36" s="6">
        <f t="shared" si="19"/>
        <v>0</v>
      </c>
      <c r="AY36" s="6">
        <f t="shared" si="20"/>
        <v>0</v>
      </c>
      <c r="AZ36" s="6">
        <f t="shared" si="21"/>
        <v>0</v>
      </c>
      <c r="BA36" s="6">
        <f t="shared" si="22"/>
        <v>0</v>
      </c>
      <c r="BB36" s="6">
        <f t="shared" si="23"/>
        <v>0</v>
      </c>
      <c r="BC36" s="6">
        <f t="shared" si="24"/>
        <v>0</v>
      </c>
      <c r="BD36" s="6">
        <f t="shared" si="25"/>
        <v>0</v>
      </c>
      <c r="BE36" s="6">
        <f t="shared" si="26"/>
        <v>0</v>
      </c>
      <c r="BF36" s="6">
        <f t="shared" si="27"/>
        <v>0</v>
      </c>
      <c r="BG36" s="6">
        <f t="shared" si="28"/>
        <v>0</v>
      </c>
      <c r="BH36" s="6">
        <f t="shared" si="29"/>
        <v>0</v>
      </c>
      <c r="BI36" s="6">
        <f t="shared" si="30"/>
        <v>0</v>
      </c>
      <c r="BJ36" s="6">
        <f t="shared" si="31"/>
        <v>0</v>
      </c>
      <c r="BK36" s="6">
        <f t="shared" si="32"/>
        <v>0</v>
      </c>
      <c r="BL36" s="6">
        <f t="shared" si="33"/>
        <v>0</v>
      </c>
      <c r="BM36" s="3">
        <f t="shared" si="35"/>
        <v>0</v>
      </c>
      <c r="BN36" s="3"/>
      <c r="BO36" s="3"/>
    </row>
    <row r="37" spans="1:67" x14ac:dyDescent="0.25">
      <c r="A37" s="3">
        <v>31</v>
      </c>
      <c r="B37" s="8" t="s">
        <v>64</v>
      </c>
      <c r="C37" s="9"/>
      <c r="D37" s="191"/>
      <c r="E37" s="9"/>
      <c r="F37" s="159" t="s">
        <v>52</v>
      </c>
      <c r="G37" s="159"/>
      <c r="H37" s="9"/>
      <c r="I37" s="9"/>
      <c r="J37" s="9"/>
      <c r="K37" s="9"/>
      <c r="L37" s="9"/>
      <c r="M37" s="9"/>
      <c r="N37" s="9" t="s">
        <v>52</v>
      </c>
      <c r="O37" s="160"/>
      <c r="P37" s="9"/>
      <c r="Q37" s="9"/>
      <c r="R37" s="9" t="s">
        <v>52</v>
      </c>
      <c r="S37" s="159"/>
      <c r="T37" s="9"/>
      <c r="U37" s="9" t="s">
        <v>299</v>
      </c>
      <c r="V37" s="159" t="s">
        <v>299</v>
      </c>
      <c r="W37" s="45" t="s">
        <v>299</v>
      </c>
      <c r="X37" s="45" t="s">
        <v>52</v>
      </c>
      <c r="Y37" s="45" t="s">
        <v>52</v>
      </c>
      <c r="Z37" s="45" t="s">
        <v>48</v>
      </c>
      <c r="AA37" s="159"/>
      <c r="AB37" s="105">
        <f t="shared" si="2"/>
        <v>6</v>
      </c>
      <c r="AC37" s="101">
        <f t="shared" si="3"/>
        <v>0</v>
      </c>
      <c r="AD37" s="101">
        <f t="shared" si="4"/>
        <v>0</v>
      </c>
      <c r="AE37" s="101" t="e">
        <f t="shared" si="5"/>
        <v>#REF!</v>
      </c>
      <c r="AF37" s="101">
        <f t="shared" si="6"/>
        <v>5</v>
      </c>
      <c r="AG37" s="102" t="e">
        <f t="shared" si="7"/>
        <v>#REF!</v>
      </c>
      <c r="AH37" s="6"/>
      <c r="AI37" s="6"/>
      <c r="AK37" s="195">
        <f t="shared" si="8"/>
        <v>1</v>
      </c>
      <c r="AN37" s="6">
        <f t="shared" si="9"/>
        <v>0</v>
      </c>
      <c r="AO37" s="6">
        <f t="shared" si="10"/>
        <v>0</v>
      </c>
      <c r="AP37" s="6">
        <f t="shared" si="11"/>
        <v>0</v>
      </c>
      <c r="AQ37" s="6">
        <f t="shared" si="12"/>
        <v>0</v>
      </c>
      <c r="AR37" s="6">
        <f t="shared" si="13"/>
        <v>0</v>
      </c>
      <c r="AS37" s="6">
        <f t="shared" si="14"/>
        <v>0</v>
      </c>
      <c r="AT37" s="6">
        <f t="shared" si="15"/>
        <v>0</v>
      </c>
      <c r="AU37" s="6">
        <f t="shared" si="16"/>
        <v>0</v>
      </c>
      <c r="AV37" s="6">
        <f t="shared" si="17"/>
        <v>0</v>
      </c>
      <c r="AW37" s="6">
        <f t="shared" si="18"/>
        <v>0</v>
      </c>
      <c r="AX37" s="6">
        <f t="shared" si="19"/>
        <v>0</v>
      </c>
      <c r="AY37" s="6">
        <f t="shared" si="20"/>
        <v>0</v>
      </c>
      <c r="AZ37" s="6">
        <f t="shared" si="21"/>
        <v>0</v>
      </c>
      <c r="BA37" s="6">
        <f t="shared" si="22"/>
        <v>0</v>
      </c>
      <c r="BB37" s="6">
        <f t="shared" si="23"/>
        <v>0</v>
      </c>
      <c r="BC37" s="6">
        <f t="shared" ref="BC37:BD39" si="37">IF(P$42="ja",0,IF(P37="h",-1,IF(P37="k",0,IF(P37="w",-1,0))))</f>
        <v>0</v>
      </c>
      <c r="BD37" s="6">
        <f t="shared" si="37"/>
        <v>0</v>
      </c>
      <c r="BE37" s="6" t="e">
        <f>IF(R$42="ja",0,IF(#REF!="h",-1,IF(#REF!="k",0,IF(#REF!="w",-1,0))))</f>
        <v>#REF!</v>
      </c>
      <c r="BF37" s="6">
        <f>IF(S$42="ja",0,IF(S37="h",-1,IF(S37="k",0,IF(S37="w",-1,0))))</f>
        <v>0</v>
      </c>
      <c r="BG37" s="6">
        <f t="shared" si="28"/>
        <v>0</v>
      </c>
      <c r="BH37" s="6">
        <f t="shared" si="29"/>
        <v>0</v>
      </c>
      <c r="BI37" s="6">
        <f t="shared" si="30"/>
        <v>0</v>
      </c>
      <c r="BJ37" s="6">
        <f t="shared" si="31"/>
        <v>0</v>
      </c>
      <c r="BK37" s="6">
        <f t="shared" si="32"/>
        <v>0</v>
      </c>
      <c r="BL37" s="6">
        <f t="shared" si="33"/>
        <v>0</v>
      </c>
      <c r="BM37" s="3" t="e">
        <f t="shared" si="35"/>
        <v>#REF!</v>
      </c>
      <c r="BN37" s="207"/>
      <c r="BO37" s="3"/>
    </row>
    <row r="38" spans="1:67" x14ac:dyDescent="0.25">
      <c r="A38" s="3">
        <v>32</v>
      </c>
      <c r="B38" s="8" t="s">
        <v>135</v>
      </c>
      <c r="C38" s="9"/>
      <c r="D38" s="191"/>
      <c r="E38" s="9" t="s">
        <v>48</v>
      </c>
      <c r="F38" s="159"/>
      <c r="G38" s="159"/>
      <c r="H38" s="9"/>
      <c r="I38" s="9"/>
      <c r="J38" s="9"/>
      <c r="K38" s="9"/>
      <c r="L38" s="9"/>
      <c r="M38" s="9"/>
      <c r="N38" s="9"/>
      <c r="O38" s="160"/>
      <c r="P38" s="9"/>
      <c r="Q38" s="9"/>
      <c r="S38" s="159"/>
      <c r="T38" s="9"/>
      <c r="U38" s="9"/>
      <c r="V38" s="159"/>
      <c r="W38" s="45"/>
      <c r="X38" s="45"/>
      <c r="Y38" s="45"/>
      <c r="Z38" s="45"/>
      <c r="AA38" s="159"/>
      <c r="AB38" s="105">
        <f t="shared" si="2"/>
        <v>1</v>
      </c>
      <c r="AC38" s="101">
        <f t="shared" si="3"/>
        <v>0</v>
      </c>
      <c r="AD38" s="101">
        <f t="shared" si="4"/>
        <v>0</v>
      </c>
      <c r="AE38" s="101">
        <f t="shared" si="5"/>
        <v>-1</v>
      </c>
      <c r="AF38" s="101">
        <f t="shared" si="6"/>
        <v>0</v>
      </c>
      <c r="AG38" s="102" t="e">
        <f t="shared" si="7"/>
        <v>#DIV/0!</v>
      </c>
      <c r="AH38" s="6"/>
      <c r="AI38" s="6"/>
      <c r="AK38" s="195">
        <f t="shared" si="8"/>
        <v>1</v>
      </c>
      <c r="AN38" s="6">
        <f t="shared" si="9"/>
        <v>0</v>
      </c>
      <c r="AO38" s="6">
        <f t="shared" si="10"/>
        <v>0</v>
      </c>
      <c r="AP38" s="6">
        <f t="shared" si="11"/>
        <v>-1</v>
      </c>
      <c r="AQ38" s="6">
        <f t="shared" si="12"/>
        <v>0</v>
      </c>
      <c r="AR38" s="6">
        <f t="shared" si="13"/>
        <v>0</v>
      </c>
      <c r="AS38" s="6">
        <f t="shared" si="14"/>
        <v>0</v>
      </c>
      <c r="AT38" s="6">
        <f t="shared" si="15"/>
        <v>0</v>
      </c>
      <c r="AU38" s="6">
        <f t="shared" si="16"/>
        <v>0</v>
      </c>
      <c r="AV38" s="6">
        <f t="shared" si="17"/>
        <v>0</v>
      </c>
      <c r="AW38" s="6">
        <f t="shared" si="18"/>
        <v>0</v>
      </c>
      <c r="AX38" s="6">
        <f t="shared" si="19"/>
        <v>0</v>
      </c>
      <c r="AY38" s="6">
        <f t="shared" si="20"/>
        <v>0</v>
      </c>
      <c r="AZ38" s="6">
        <f t="shared" si="21"/>
        <v>0</v>
      </c>
      <c r="BA38" s="6">
        <f t="shared" si="22"/>
        <v>0</v>
      </c>
      <c r="BB38" s="6">
        <f t="shared" si="23"/>
        <v>0</v>
      </c>
      <c r="BC38" s="6">
        <f t="shared" si="37"/>
        <v>0</v>
      </c>
      <c r="BD38" s="6">
        <f t="shared" si="37"/>
        <v>0</v>
      </c>
      <c r="BE38" s="6">
        <f>IF(R$42="ja",0,IF(R37="h",-1,IF(R37="k",0,IF(R37="w",-1,0))))</f>
        <v>0</v>
      </c>
      <c r="BF38" s="6">
        <f>IF(S$42="ja",0,IF(S38="h",-1,IF(S38="k",0,IF(S38="w",-1,0))))</f>
        <v>0</v>
      </c>
      <c r="BG38" s="6">
        <f t="shared" si="28"/>
        <v>0</v>
      </c>
      <c r="BH38" s="6">
        <f t="shared" si="29"/>
        <v>0</v>
      </c>
      <c r="BI38" s="6">
        <f t="shared" si="30"/>
        <v>0</v>
      </c>
      <c r="BJ38" s="6">
        <f t="shared" si="31"/>
        <v>0</v>
      </c>
      <c r="BK38" s="6">
        <f t="shared" si="32"/>
        <v>0</v>
      </c>
      <c r="BL38" s="6">
        <f t="shared" si="33"/>
        <v>0</v>
      </c>
      <c r="BM38" s="3">
        <f>SUM(AN38:BL38)</f>
        <v>-1</v>
      </c>
      <c r="BN38" s="207"/>
      <c r="BO38" s="3"/>
    </row>
    <row r="39" spans="1:67" x14ac:dyDescent="0.25">
      <c r="A39" s="3">
        <v>33</v>
      </c>
      <c r="B39" s="8" t="s">
        <v>82</v>
      </c>
      <c r="C39" s="9" t="s">
        <v>52</v>
      </c>
      <c r="D39" s="191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45"/>
      <c r="X39" s="45"/>
      <c r="Y39" s="45"/>
      <c r="Z39" s="45"/>
      <c r="AA39" s="9"/>
      <c r="AB39" s="105">
        <f t="shared" si="2"/>
        <v>1</v>
      </c>
      <c r="AC39" s="101">
        <f t="shared" si="3"/>
        <v>0</v>
      </c>
      <c r="AD39" s="101">
        <f t="shared" si="4"/>
        <v>0</v>
      </c>
      <c r="AE39" s="101">
        <f t="shared" si="5"/>
        <v>0</v>
      </c>
      <c r="AF39" s="101">
        <f t="shared" si="6"/>
        <v>1</v>
      </c>
      <c r="AG39" s="102" t="e">
        <f t="shared" si="7"/>
        <v>#DIV/0!</v>
      </c>
      <c r="AH39" s="6"/>
      <c r="AI39" s="6"/>
      <c r="AK39" s="195">
        <f t="shared" si="8"/>
        <v>0</v>
      </c>
      <c r="AN39" s="6">
        <f t="shared" si="9"/>
        <v>0</v>
      </c>
      <c r="AO39" s="6">
        <f t="shared" si="10"/>
        <v>0</v>
      </c>
      <c r="AP39" s="6">
        <f t="shared" si="11"/>
        <v>0</v>
      </c>
      <c r="AQ39" s="6">
        <f t="shared" si="12"/>
        <v>0</v>
      </c>
      <c r="AR39" s="6">
        <f t="shared" si="13"/>
        <v>0</v>
      </c>
      <c r="AS39" s="6">
        <f t="shared" si="14"/>
        <v>0</v>
      </c>
      <c r="AT39" s="6">
        <f t="shared" si="15"/>
        <v>0</v>
      </c>
      <c r="AU39" s="6">
        <f t="shared" si="16"/>
        <v>0</v>
      </c>
      <c r="AV39" s="6">
        <f t="shared" si="17"/>
        <v>0</v>
      </c>
      <c r="AW39" s="6">
        <f t="shared" si="18"/>
        <v>0</v>
      </c>
      <c r="AX39" s="6">
        <f t="shared" si="19"/>
        <v>0</v>
      </c>
      <c r="AY39" s="6">
        <f t="shared" si="20"/>
        <v>0</v>
      </c>
      <c r="AZ39" s="6">
        <f t="shared" si="21"/>
        <v>0</v>
      </c>
      <c r="BA39" s="6">
        <f t="shared" si="22"/>
        <v>0</v>
      </c>
      <c r="BB39" s="6">
        <f t="shared" si="23"/>
        <v>0</v>
      </c>
      <c r="BC39" s="6">
        <f t="shared" si="37"/>
        <v>0</v>
      </c>
      <c r="BD39" s="6">
        <f t="shared" si="37"/>
        <v>0</v>
      </c>
      <c r="BE39" s="6">
        <f>IF(R$42="ja",0,IF(R39="h",-1,IF(R39="k",0,IF(R39="w",-1,0))))</f>
        <v>0</v>
      </c>
      <c r="BF39" s="6">
        <f>IF(S$42="ja",0,IF(S39="h",-1,IF(S39="k",0,IF(S39="w",-1,0))))</f>
        <v>0</v>
      </c>
      <c r="BG39" s="6">
        <f t="shared" si="28"/>
        <v>0</v>
      </c>
      <c r="BH39" s="6">
        <f t="shared" si="29"/>
        <v>0</v>
      </c>
      <c r="BI39" s="6">
        <f t="shared" si="30"/>
        <v>0</v>
      </c>
      <c r="BJ39" s="6">
        <f t="shared" si="31"/>
        <v>0</v>
      </c>
      <c r="BK39" s="6">
        <f t="shared" si="32"/>
        <v>0</v>
      </c>
      <c r="BL39" s="6">
        <f t="shared" si="33"/>
        <v>0</v>
      </c>
      <c r="BM39" s="3">
        <f>SUM(AN39:BL39)</f>
        <v>0</v>
      </c>
      <c r="BN39" s="3"/>
      <c r="BO39" s="3"/>
    </row>
    <row r="40" spans="1:67" x14ac:dyDescent="0.25">
      <c r="A40" s="3"/>
      <c r="B40" s="8"/>
      <c r="C40" s="82">
        <f t="shared" ref="C40:AA40" si="38">SUM(COUNTIF(C7:C39,"h"),COUNTIF(C7:C39,"w"),COUNTIF(C7:C39,"k"))</f>
        <v>10</v>
      </c>
      <c r="D40" s="82">
        <f t="shared" si="38"/>
        <v>0</v>
      </c>
      <c r="E40" s="82">
        <f t="shared" si="38"/>
        <v>10</v>
      </c>
      <c r="F40" s="82">
        <f t="shared" si="38"/>
        <v>10</v>
      </c>
      <c r="G40" s="82">
        <f t="shared" si="38"/>
        <v>9</v>
      </c>
      <c r="H40" s="82">
        <f t="shared" si="38"/>
        <v>11</v>
      </c>
      <c r="I40" s="82">
        <f t="shared" si="38"/>
        <v>9</v>
      </c>
      <c r="J40" s="82">
        <f t="shared" si="38"/>
        <v>9</v>
      </c>
      <c r="K40" s="82">
        <f t="shared" si="38"/>
        <v>9</v>
      </c>
      <c r="L40" s="82">
        <f t="shared" si="38"/>
        <v>7</v>
      </c>
      <c r="M40" s="82">
        <f t="shared" si="38"/>
        <v>8</v>
      </c>
      <c r="N40" s="82">
        <f t="shared" si="38"/>
        <v>8</v>
      </c>
      <c r="O40" s="82">
        <f t="shared" si="38"/>
        <v>8</v>
      </c>
      <c r="P40" s="82">
        <f t="shared" si="38"/>
        <v>8</v>
      </c>
      <c r="Q40" s="82">
        <f t="shared" si="38"/>
        <v>10</v>
      </c>
      <c r="R40" s="82">
        <f t="shared" si="38"/>
        <v>10</v>
      </c>
      <c r="S40" s="82">
        <f t="shared" si="38"/>
        <v>7</v>
      </c>
      <c r="T40" s="82">
        <f t="shared" si="38"/>
        <v>10</v>
      </c>
      <c r="U40" s="82">
        <f t="shared" si="38"/>
        <v>10</v>
      </c>
      <c r="V40" s="82">
        <f t="shared" si="38"/>
        <v>10</v>
      </c>
      <c r="W40" s="43">
        <f t="shared" si="38"/>
        <v>9</v>
      </c>
      <c r="X40" s="82">
        <f t="shared" si="38"/>
        <v>10</v>
      </c>
      <c r="Y40" s="82">
        <f t="shared" si="38"/>
        <v>9</v>
      </c>
      <c r="Z40" s="43">
        <f t="shared" si="38"/>
        <v>11</v>
      </c>
      <c r="AA40" s="82">
        <f t="shared" si="38"/>
        <v>0</v>
      </c>
      <c r="AB40" s="105">
        <f t="shared" si="2"/>
        <v>0</v>
      </c>
      <c r="AC40" s="101">
        <f t="shared" si="3"/>
        <v>0</v>
      </c>
      <c r="AD40" s="142"/>
      <c r="AF40" s="133"/>
      <c r="AG40" s="90"/>
      <c r="AH40" s="6"/>
      <c r="AI40" s="6"/>
      <c r="AK40" s="197"/>
    </row>
    <row r="41" spans="1:67" x14ac:dyDescent="0.25">
      <c r="A41" s="7"/>
      <c r="AC41" s="143"/>
      <c r="AD41" s="143"/>
      <c r="AF41" s="133"/>
      <c r="AG41" s="91"/>
      <c r="AH41" s="6"/>
      <c r="AI41" s="6"/>
      <c r="AK41" s="196"/>
    </row>
    <row r="42" spans="1:67" x14ac:dyDescent="0.25">
      <c r="A42" s="7"/>
      <c r="B42" s="7" t="s">
        <v>83</v>
      </c>
      <c r="C42" s="134" t="str">
        <f t="shared" ref="C42:AA42" si="39">IF(C40&gt;10,"ja","nee")</f>
        <v>nee</v>
      </c>
      <c r="D42" s="134" t="str">
        <f t="shared" si="39"/>
        <v>nee</v>
      </c>
      <c r="E42" s="134" t="str">
        <f t="shared" si="39"/>
        <v>nee</v>
      </c>
      <c r="F42" s="134" t="str">
        <f t="shared" si="39"/>
        <v>nee</v>
      </c>
      <c r="G42" s="134" t="str">
        <f t="shared" si="39"/>
        <v>nee</v>
      </c>
      <c r="H42" s="134" t="str">
        <f t="shared" si="39"/>
        <v>ja</v>
      </c>
      <c r="I42" s="134" t="str">
        <f t="shared" si="39"/>
        <v>nee</v>
      </c>
      <c r="J42" s="134" t="str">
        <f t="shared" si="39"/>
        <v>nee</v>
      </c>
      <c r="K42" s="134" t="str">
        <f t="shared" si="39"/>
        <v>nee</v>
      </c>
      <c r="L42" s="134" t="str">
        <f t="shared" si="39"/>
        <v>nee</v>
      </c>
      <c r="M42" s="134" t="str">
        <f t="shared" si="39"/>
        <v>nee</v>
      </c>
      <c r="N42" s="134" t="str">
        <f t="shared" si="39"/>
        <v>nee</v>
      </c>
      <c r="O42" s="134" t="str">
        <f t="shared" si="39"/>
        <v>nee</v>
      </c>
      <c r="P42" s="134" t="str">
        <f t="shared" si="39"/>
        <v>nee</v>
      </c>
      <c r="Q42" s="134" t="str">
        <f t="shared" si="39"/>
        <v>nee</v>
      </c>
      <c r="R42" s="134" t="str">
        <f t="shared" si="39"/>
        <v>nee</v>
      </c>
      <c r="S42" s="134" t="str">
        <f>IF(S40&gt;10,"ja","nee")</f>
        <v>nee</v>
      </c>
      <c r="T42" s="134" t="str">
        <f>IF(T40&gt;10,"ja","nee")</f>
        <v>nee</v>
      </c>
      <c r="U42" s="134" t="str">
        <f>IF(U40&gt;10,"ja","nee")</f>
        <v>nee</v>
      </c>
      <c r="V42" s="134" t="str">
        <f t="shared" si="39"/>
        <v>nee</v>
      </c>
      <c r="W42" s="134" t="str">
        <f t="shared" si="39"/>
        <v>nee</v>
      </c>
      <c r="X42" s="134"/>
      <c r="Y42" s="134" t="str">
        <f t="shared" si="39"/>
        <v>nee</v>
      </c>
      <c r="Z42" s="134" t="str">
        <f t="shared" si="39"/>
        <v>ja</v>
      </c>
      <c r="AA42" s="134" t="str">
        <f t="shared" si="39"/>
        <v>nee</v>
      </c>
      <c r="AB42" s="105">
        <f>SUM(AB7:AB39)</f>
        <v>244</v>
      </c>
      <c r="AC42" s="6"/>
      <c r="AD42" s="6"/>
      <c r="AF42" s="133"/>
      <c r="AG42" s="6"/>
      <c r="AH42" s="6"/>
      <c r="AI42" s="6"/>
      <c r="AJ42" s="65" t="s">
        <v>84</v>
      </c>
      <c r="AK42" s="195">
        <f>SUM(AK7:AK39)</f>
        <v>212</v>
      </c>
    </row>
    <row r="43" spans="1:67" x14ac:dyDescent="0.25">
      <c r="A43" s="7"/>
      <c r="B43" s="7"/>
      <c r="C43" s="7"/>
      <c r="D43" s="7"/>
      <c r="E43" s="19"/>
      <c r="F43" s="7"/>
      <c r="G43" s="7"/>
      <c r="H43" s="7"/>
      <c r="I43" s="7"/>
      <c r="J43" s="7"/>
      <c r="K43" s="7"/>
      <c r="L43" s="7"/>
      <c r="M43" s="7"/>
      <c r="N43" s="7"/>
      <c r="O43" s="7"/>
      <c r="P43" s="6"/>
      <c r="Q43" s="6"/>
      <c r="R43" s="6"/>
      <c r="S43" s="7"/>
      <c r="T43" s="7"/>
      <c r="U43" s="6"/>
      <c r="V43" s="6"/>
      <c r="W43" s="6"/>
      <c r="X43" s="6"/>
      <c r="Y43" s="6"/>
      <c r="Z43" s="6"/>
      <c r="AA43" s="6"/>
      <c r="AB43" s="6"/>
    </row>
    <row r="44" spans="1:67" x14ac:dyDescent="0.25">
      <c r="A44" s="7"/>
      <c r="B44" s="7"/>
      <c r="C44" s="7"/>
      <c r="D44" s="7"/>
      <c r="E44" s="19"/>
      <c r="F44" s="7"/>
      <c r="G44" s="7"/>
      <c r="H44" s="7"/>
      <c r="I44" s="7"/>
      <c r="J44" s="7"/>
      <c r="K44" s="7"/>
      <c r="L44" s="7"/>
      <c r="M44" s="7"/>
      <c r="N44" s="7"/>
      <c r="O44" s="7"/>
      <c r="P44" s="6"/>
      <c r="Q44" s="6"/>
      <c r="R44" s="6"/>
      <c r="S44" s="7"/>
      <c r="T44" s="7"/>
      <c r="U44" s="6"/>
      <c r="V44" s="6"/>
      <c r="W44" s="6"/>
      <c r="X44" s="6"/>
      <c r="Y44" s="6"/>
      <c r="Z44" s="6"/>
      <c r="AA44" s="6"/>
      <c r="AB44" s="6"/>
    </row>
    <row r="45" spans="1:67" x14ac:dyDescent="0.25">
      <c r="A45" s="7"/>
      <c r="C45" s="7"/>
      <c r="D45" s="7"/>
      <c r="E45" s="221" t="s">
        <v>85</v>
      </c>
      <c r="G45" s="7"/>
      <c r="H45" s="7"/>
      <c r="I45" s="7"/>
      <c r="J45" s="7"/>
      <c r="K45" s="7"/>
      <c r="L45" s="7"/>
      <c r="M45" s="7"/>
      <c r="N45" s="7"/>
      <c r="O45" s="7"/>
      <c r="P45" s="6"/>
      <c r="Q45" s="6"/>
      <c r="R45" s="6"/>
      <c r="S45" s="7"/>
      <c r="T45" s="7"/>
      <c r="U45" s="6"/>
      <c r="V45" s="6"/>
      <c r="W45" s="6"/>
      <c r="X45" s="6"/>
      <c r="Y45" s="6"/>
      <c r="Z45" s="6"/>
      <c r="AA45" s="6"/>
      <c r="AB45" s="6"/>
    </row>
    <row r="46" spans="1:67" x14ac:dyDescent="0.25">
      <c r="A46" s="7"/>
      <c r="B46" s="19"/>
      <c r="C46" s="7"/>
      <c r="D46" s="7"/>
      <c r="E46" s="222" t="s">
        <v>86</v>
      </c>
      <c r="G46" s="7"/>
      <c r="H46" s="7"/>
      <c r="I46" s="7"/>
      <c r="J46" s="7"/>
      <c r="K46" s="7"/>
      <c r="L46" s="7"/>
      <c r="M46" s="7"/>
      <c r="N46" s="7"/>
      <c r="O46" s="7"/>
      <c r="P46" s="6"/>
      <c r="Q46" s="6"/>
      <c r="R46" s="6"/>
      <c r="S46" s="7"/>
      <c r="T46" s="7"/>
      <c r="U46" s="6"/>
      <c r="V46" s="6"/>
      <c r="W46" s="6"/>
      <c r="X46" s="6"/>
      <c r="Y46" s="6"/>
      <c r="Z46" s="6"/>
      <c r="AA46" s="6"/>
      <c r="AB46" s="6"/>
    </row>
    <row r="47" spans="1:67" x14ac:dyDescent="0.25">
      <c r="A47" s="7"/>
      <c r="B47" s="172" t="s">
        <v>87</v>
      </c>
      <c r="C47" s="20">
        <v>10</v>
      </c>
      <c r="D47" s="7"/>
      <c r="F47" s="6"/>
      <c r="G47" s="7"/>
      <c r="H47" s="7"/>
      <c r="I47" s="7"/>
      <c r="J47" s="7"/>
      <c r="K47" s="7"/>
      <c r="L47" s="7"/>
      <c r="M47" s="7"/>
      <c r="N47" s="7"/>
      <c r="O47" s="7"/>
      <c r="P47" s="6"/>
      <c r="Q47" s="6"/>
      <c r="R47" s="6"/>
      <c r="S47" s="7"/>
      <c r="T47" s="7"/>
      <c r="U47" s="6"/>
      <c r="V47" s="6"/>
      <c r="W47" s="6"/>
      <c r="X47" s="6"/>
      <c r="Y47" s="6"/>
      <c r="Z47" s="6"/>
      <c r="AA47" s="6"/>
      <c r="AB47" s="6"/>
    </row>
    <row r="48" spans="1:67" x14ac:dyDescent="0.25">
      <c r="B48" s="22" t="s">
        <v>88</v>
      </c>
      <c r="C48" s="20">
        <v>9</v>
      </c>
      <c r="D48" s="7"/>
      <c r="E48" s="223" t="s">
        <v>89</v>
      </c>
      <c r="F48" s="229" t="s">
        <v>48</v>
      </c>
    </row>
    <row r="49" spans="2:6" x14ac:dyDescent="0.25">
      <c r="B49" s="15" t="s">
        <v>90</v>
      </c>
      <c r="C49" s="23">
        <v>4</v>
      </c>
      <c r="D49" s="7"/>
      <c r="E49" s="224" t="s">
        <v>30</v>
      </c>
      <c r="F49" s="230" t="s">
        <v>74</v>
      </c>
    </row>
    <row r="50" spans="2:6" x14ac:dyDescent="0.25">
      <c r="B50" s="210" t="s">
        <v>91</v>
      </c>
      <c r="C50" s="211">
        <v>1</v>
      </c>
      <c r="D50" s="7"/>
      <c r="E50" s="225" t="s">
        <v>92</v>
      </c>
      <c r="F50" s="231" t="s">
        <v>50</v>
      </c>
    </row>
    <row r="51" spans="2:6" x14ac:dyDescent="0.25">
      <c r="B51" s="7"/>
      <c r="C51" s="209">
        <f>SUM(C47:C50)</f>
        <v>24</v>
      </c>
      <c r="D51" s="7"/>
      <c r="E51" s="226" t="s">
        <v>93</v>
      </c>
      <c r="F51" s="232">
        <v>1</v>
      </c>
    </row>
    <row r="52" spans="2:6" x14ac:dyDescent="0.25">
      <c r="B52" s="7"/>
      <c r="C52" s="7"/>
      <c r="D52" s="7"/>
      <c r="E52" s="227" t="s">
        <v>32</v>
      </c>
      <c r="F52" s="233" t="s">
        <v>52</v>
      </c>
    </row>
    <row r="53" spans="2:6" x14ac:dyDescent="0.25">
      <c r="E53" s="228" t="s">
        <v>94</v>
      </c>
      <c r="F53" s="234">
        <v>1</v>
      </c>
    </row>
    <row r="54" spans="2:6" x14ac:dyDescent="0.25">
      <c r="E54" s="65"/>
      <c r="F54" s="3"/>
    </row>
    <row r="55" spans="2:6" x14ac:dyDescent="0.25">
      <c r="E55" s="129" t="s">
        <v>87</v>
      </c>
      <c r="F55" s="6"/>
    </row>
    <row r="56" spans="2:6" x14ac:dyDescent="0.25">
      <c r="E56" s="130" t="s">
        <v>88</v>
      </c>
      <c r="F56" s="6"/>
    </row>
    <row r="57" spans="2:6" x14ac:dyDescent="0.25">
      <c r="E57" s="131" t="s">
        <v>95</v>
      </c>
      <c r="F57" s="6"/>
    </row>
    <row r="58" spans="2:6" x14ac:dyDescent="0.25">
      <c r="E58" s="132" t="s">
        <v>91</v>
      </c>
      <c r="F58" s="6"/>
    </row>
  </sheetData>
  <sortState xmlns:xlrd2="http://schemas.microsoft.com/office/spreadsheetml/2017/richdata2" ref="B7:BO26">
    <sortCondition ref="AG7:AG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2025-2026</vt:lpstr>
      <vt:lpstr>Doelpunten 2025-2026</vt:lpstr>
      <vt:lpstr>Assists 2025-2026</vt:lpstr>
      <vt:lpstr>Kaarten 2025-2026</vt:lpstr>
      <vt:lpstr>Men of the Match 2025-2026</vt:lpstr>
      <vt:lpstr>STATS AANWEZIGHEDEN 2017-2027</vt:lpstr>
      <vt:lpstr>STATS DOELPUNTEN 2017-2027</vt:lpstr>
      <vt:lpstr>STATS ASSISTS 2017-2027</vt:lpstr>
      <vt:lpstr>STATS KAARTEN 2017-2027</vt:lpstr>
      <vt:lpstr>STATS MEN OF THE MATCH</vt:lpstr>
      <vt:lpstr>2017-2018</vt:lpstr>
      <vt:lpstr>2018-2019</vt:lpstr>
      <vt:lpstr>2019-2020</vt:lpstr>
      <vt:lpstr>2020-2021</vt:lpstr>
      <vt:lpstr>2021-2022</vt:lpstr>
      <vt:lpstr>2022-2023</vt:lpstr>
      <vt:lpstr>2023-2024</vt:lpstr>
      <vt:lpstr>2024-2025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</dc:creator>
  <cp:keywords/>
  <dc:description/>
  <cp:lastModifiedBy>robbe peeters</cp:lastModifiedBy>
  <cp:revision/>
  <dcterms:created xsi:type="dcterms:W3CDTF">2017-09-22T11:45:41Z</dcterms:created>
  <dcterms:modified xsi:type="dcterms:W3CDTF">2026-03-22T08:22:35Z</dcterms:modified>
  <cp:category/>
  <cp:contentStatus/>
</cp:coreProperties>
</file>